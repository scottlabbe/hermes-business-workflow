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or_Year_TB" sheetId="2" state="visible" r:id="rId2"/>
    <sheet xmlns:r="http://schemas.openxmlformats.org/officeDocument/2006/relationships" name="Current_Year_TB" sheetId="3" state="visible" r:id="rId3"/>
    <sheet xmlns:r="http://schemas.openxmlformats.org/officeDocument/2006/relationships" name="Comparison" sheetId="4" state="visible" r:id="rId4"/>
  </sheets>
  <definedNames>
    <definedName name="_xlnm._FilterDatabase" localSheetId="0" hidden="1">'Summary'!$A$1:$B$15</definedName>
    <definedName name="_xlnm._FilterDatabase" localSheetId="1" hidden="1">'Prior_Year_TB'!$A$1:$H$248</definedName>
    <definedName name="_xlnm._FilterDatabase" localSheetId="2" hidden="1">'Current_Year_TB'!$A$1:$H$248</definedName>
    <definedName name="_xlnm._FilterDatabase" localSheetId="3" hidden="1">'Comparison'!$A$1:$O$247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0.0%;[Red](0.0%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Workbook Purpose</t>
        </is>
      </c>
      <c r="B2" s="3" t="inlineStr">
        <is>
          <t>Draft trial balance variance analysis and follow-up question aid for human review.</t>
        </is>
      </c>
    </row>
    <row r="3">
      <c r="A3" s="2" t="inlineStr">
        <is>
          <t>Input Files</t>
        </is>
      </c>
      <c r="B3" s="3" t="inlineStr">
        <is>
          <t>FY25 TB.csv; FY26 TB.csv</t>
        </is>
      </c>
    </row>
    <row r="4">
      <c r="A4" s="2" t="inlineStr">
        <is>
          <t>Thresholds Used</t>
        </is>
      </c>
      <c r="B4" s="3" t="inlineStr">
        <is>
          <t>Question triggered only when absolute dollar change is at least $200,000 AND absolute percent change is at least 20%.</t>
        </is>
      </c>
    </row>
    <row r="5">
      <c r="A5" s="2" t="inlineStr">
        <is>
          <t>Balance Convention</t>
        </is>
      </c>
      <c r="B5" s="3" t="inlineStr">
        <is>
          <t>Single signed balance column preserved; parenthetical currency values treated as negative.</t>
        </is>
      </c>
    </row>
    <row r="6">
      <c r="A6" s="2" t="inlineStr">
        <is>
          <t>Prior-Year Rows / Total</t>
        </is>
      </c>
      <c r="B6" s="3" t="inlineStr">
        <is>
          <t>247 rows; total $-1.00</t>
        </is>
      </c>
    </row>
    <row r="7">
      <c r="A7" s="2" t="inlineStr">
        <is>
          <t>Current-Year Rows / Total</t>
        </is>
      </c>
      <c r="B7" s="3" t="inlineStr">
        <is>
          <t>247 rows; total $-5.00</t>
        </is>
      </c>
    </row>
    <row r="8">
      <c r="A8" s="2" t="inlineStr">
        <is>
          <t>Comparison Rows</t>
        </is>
      </c>
      <c r="B8" s="3" t="n">
        <v>246</v>
      </c>
    </row>
    <row r="9">
      <c r="A9" s="2" t="inlineStr">
        <is>
          <t>Questions Generated</t>
        </is>
      </c>
      <c r="B9" s="3" t="n">
        <v>8</v>
      </c>
    </row>
    <row r="10">
      <c r="A10" s="2" t="inlineStr">
        <is>
          <t>Prior-Year Mappings</t>
        </is>
      </c>
      <c r="B10" s="3" t="inlineStr">
        <is>
          <t>{"account_category": "Category", "account_name": "Account Name", "account_number": "Account Number", "balance": "Balance", "department": "Department"}</t>
        </is>
      </c>
    </row>
    <row r="11">
      <c r="A11" s="2" t="inlineStr">
        <is>
          <t>Current-Year Mappings</t>
        </is>
      </c>
      <c r="B11" s="3" t="inlineStr">
        <is>
          <t>{"account_category": "Category", "account_name": "Account Name", "account_number": "Account Number", "balance": "Balance", "department": "Department"}</t>
        </is>
      </c>
    </row>
    <row r="12">
      <c r="A12" s="2" t="inlineStr">
        <is>
          <t>Duplicate Aggregation</t>
        </is>
      </c>
      <c r="B12" s="3" t="inlineStr">
        <is>
          <t>Prior-year duplicate match keys: 1; current-year duplicate match keys: 1.</t>
        </is>
      </c>
    </row>
    <row r="13">
      <c r="A13" s="2" t="inlineStr">
        <is>
          <t>Validation Status</t>
        </is>
      </c>
      <c r="B13" s="3" t="inlineStr">
        <is>
          <t>Completed with limitations. Both input files loaded successfully; Account name and balance columns identified per file; All balances are numeric; Comparison row count equals unique match keys across both years; Dollar change equals current year balance less prior year balance; Suggested questions populated only for triggered rows; AND threshold logic applied consistently; No Materiality Score column generated; Summary documents thresholds, mappings, aggregation counts, and balance convention</t>
        </is>
      </c>
    </row>
    <row r="14">
      <c r="A14" s="2" t="inlineStr">
        <is>
          <t>Human Review Needed</t>
        </is>
      </c>
      <c r="B14" s="3" t="inlineStr">
        <is>
          <t>Review generated questions, account classifications, balance-sign conventions, and any accounts near but below the configured thresholds.</t>
        </is>
      </c>
    </row>
    <row r="15">
      <c r="A15" s="2" t="inlineStr">
        <is>
          <t>Limitations</t>
        </is>
      </c>
      <c r="B15" s="3" t="inlineStr">
        <is>
          <t>Outputs are review aids and draft workpapers only; they do not establish final audit, compliance, financial, or management conclusions.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2" customWidth="1" min="1" max="1"/>
    <col width="16" customWidth="1" min="2" max="2"/>
    <col width="38" customWidth="1" min="3" max="3"/>
    <col width="18" customWidth="1" min="4" max="4"/>
    <col width="12" customWidth="1" min="5" max="5"/>
    <col width="12" customWidth="1" min="6" max="6"/>
    <col width="13" customWidth="1" min="7" max="7"/>
    <col width="13" customWidth="1" min="8" max="8"/>
  </cols>
  <sheetData>
    <row r="1">
      <c r="A1" s="1" t="inlineStr">
        <is>
          <t>match_key</t>
        </is>
      </c>
      <c r="B1" s="1" t="inlineStr">
        <is>
          <t>Account Number</t>
        </is>
      </c>
      <c r="C1" s="1" t="inlineStr">
        <is>
          <t>Account Name</t>
        </is>
      </c>
      <c r="D1" s="1" t="inlineStr">
        <is>
          <t>Account Category</t>
        </is>
      </c>
      <c r="E1" s="1" t="inlineStr">
        <is>
          <t>Department</t>
        </is>
      </c>
      <c r="F1" s="1" t="inlineStr">
        <is>
          <t>Balance</t>
        </is>
      </c>
      <c r="G1" s="1" t="inlineStr">
        <is>
          <t>Source File</t>
        </is>
      </c>
      <c r="H1" s="1" t="inlineStr">
        <is>
          <t>Source Year</t>
        </is>
      </c>
    </row>
    <row r="2">
      <c r="A2" s="2" t="inlineStr">
        <is>
          <t>1000</t>
        </is>
      </c>
      <c r="B2" s="2" t="inlineStr">
        <is>
          <t>1000</t>
        </is>
      </c>
      <c r="C2" s="2" t="inlineStr">
        <is>
          <t>Accumulated Depreciation - Admin</t>
        </is>
      </c>
      <c r="D2" s="2" t="inlineStr">
        <is>
          <t>Assets</t>
        </is>
      </c>
      <c r="E2" s="2" t="inlineStr">
        <is>
          <t>Admin</t>
        </is>
      </c>
      <c r="F2" s="4" t="n">
        <v>-62867</v>
      </c>
      <c r="G2" s="2" t="inlineStr">
        <is>
          <t>FY25 TB.csv</t>
        </is>
      </c>
      <c r="H2" s="2" t="inlineStr">
        <is>
          <t>Prior Year</t>
        </is>
      </c>
    </row>
    <row r="3">
      <c r="A3" s="2" t="inlineStr">
        <is>
          <t>1010</t>
        </is>
      </c>
      <c r="B3" s="2" t="inlineStr">
        <is>
          <t>1010</t>
        </is>
      </c>
      <c r="C3" s="2" t="inlineStr">
        <is>
          <t>Fixed Assets - IT</t>
        </is>
      </c>
      <c r="D3" s="2" t="inlineStr">
        <is>
          <t>Assets</t>
        </is>
      </c>
      <c r="E3" s="2" t="inlineStr">
        <is>
          <t>IT</t>
        </is>
      </c>
      <c r="F3" s="4" t="n">
        <v>36660</v>
      </c>
      <c r="G3" s="2" t="inlineStr">
        <is>
          <t>FY25 TB.csv</t>
        </is>
      </c>
      <c r="H3" s="2" t="inlineStr">
        <is>
          <t>Prior Year</t>
        </is>
      </c>
    </row>
    <row r="4">
      <c r="A4" s="2" t="inlineStr">
        <is>
          <t>1021</t>
        </is>
      </c>
      <c r="B4" s="2" t="inlineStr">
        <is>
          <t>1021</t>
        </is>
      </c>
      <c r="C4" s="2" t="inlineStr">
        <is>
          <t>Fixed Assets - IT</t>
        </is>
      </c>
      <c r="D4" s="2" t="inlineStr">
        <is>
          <t>Assets</t>
        </is>
      </c>
      <c r="E4" s="2" t="inlineStr">
        <is>
          <t>IT</t>
        </is>
      </c>
      <c r="F4" s="4" t="n">
        <v>32186</v>
      </c>
      <c r="G4" s="2" t="inlineStr">
        <is>
          <t>FY25 TB.csv</t>
        </is>
      </c>
      <c r="H4" s="2" t="inlineStr">
        <is>
          <t>Prior Year</t>
        </is>
      </c>
    </row>
    <row r="5">
      <c r="A5" s="2" t="inlineStr">
        <is>
          <t>1031</t>
        </is>
      </c>
      <c r="B5" s="2" t="inlineStr">
        <is>
          <t>1031</t>
        </is>
      </c>
      <c r="C5" s="2" t="inlineStr">
        <is>
          <t>Inventory - Ops</t>
        </is>
      </c>
      <c r="D5" s="2" t="inlineStr">
        <is>
          <t>Assets</t>
        </is>
      </c>
      <c r="E5" s="2" t="inlineStr">
        <is>
          <t>Ops</t>
        </is>
      </c>
      <c r="F5" s="4" t="n">
        <v>118459</v>
      </c>
      <c r="G5" s="2" t="inlineStr">
        <is>
          <t>FY25 TB.csv</t>
        </is>
      </c>
      <c r="H5" s="2" t="inlineStr">
        <is>
          <t>Prior Year</t>
        </is>
      </c>
    </row>
    <row r="6">
      <c r="A6" s="2" t="inlineStr">
        <is>
          <t>1043</t>
        </is>
      </c>
      <c r="B6" s="2" t="inlineStr">
        <is>
          <t>1043</t>
        </is>
      </c>
      <c r="C6" s="2" t="inlineStr">
        <is>
          <t>Cash - Corporate</t>
        </is>
      </c>
      <c r="D6" s="2" t="inlineStr">
        <is>
          <t>Assets</t>
        </is>
      </c>
      <c r="E6" s="2" t="inlineStr">
        <is>
          <t>Corporate</t>
        </is>
      </c>
      <c r="F6" s="4" t="n">
        <v>366508</v>
      </c>
      <c r="G6" s="2" t="inlineStr">
        <is>
          <t>FY25 TB.csv</t>
        </is>
      </c>
      <c r="H6" s="2" t="inlineStr">
        <is>
          <t>Prior Year</t>
        </is>
      </c>
    </row>
    <row r="7">
      <c r="A7" s="2" t="inlineStr">
        <is>
          <t>1052</t>
        </is>
      </c>
      <c r="B7" s="2" t="inlineStr">
        <is>
          <t>1052</t>
        </is>
      </c>
      <c r="C7" s="2" t="inlineStr">
        <is>
          <t>Accumulated Depreciation - Warehouse</t>
        </is>
      </c>
      <c r="D7" s="2" t="inlineStr">
        <is>
          <t>Assets</t>
        </is>
      </c>
      <c r="E7" s="2" t="inlineStr">
        <is>
          <t>Warehouse</t>
        </is>
      </c>
      <c r="F7" s="4" t="n">
        <v>-56907</v>
      </c>
      <c r="G7" s="2" t="inlineStr">
        <is>
          <t>FY25 TB.csv</t>
        </is>
      </c>
      <c r="H7" s="2" t="inlineStr">
        <is>
          <t>Prior Year</t>
        </is>
      </c>
    </row>
    <row r="8">
      <c r="A8" s="2" t="inlineStr">
        <is>
          <t>1061</t>
        </is>
      </c>
      <c r="B8" s="2" t="inlineStr">
        <is>
          <t>1061</t>
        </is>
      </c>
      <c r="C8" s="2" t="inlineStr">
        <is>
          <t>Inventory - Admin</t>
        </is>
      </c>
      <c r="D8" s="2" t="inlineStr">
        <is>
          <t>Assets</t>
        </is>
      </c>
      <c r="E8" s="2" t="inlineStr">
        <is>
          <t>Admin</t>
        </is>
      </c>
      <c r="F8" s="4" t="n">
        <v>100134</v>
      </c>
      <c r="G8" s="2" t="inlineStr">
        <is>
          <t>FY25 TB.csv</t>
        </is>
      </c>
      <c r="H8" s="2" t="inlineStr">
        <is>
          <t>Prior Year</t>
        </is>
      </c>
    </row>
    <row r="9">
      <c r="A9" s="2" t="inlineStr">
        <is>
          <t>1072</t>
        </is>
      </c>
      <c r="B9" s="2" t="inlineStr">
        <is>
          <t>1072</t>
        </is>
      </c>
      <c r="C9" s="2" t="inlineStr">
        <is>
          <t>Accounts Receivable - Sales</t>
        </is>
      </c>
      <c r="D9" s="2" t="inlineStr">
        <is>
          <t>Assets</t>
        </is>
      </c>
      <c r="E9" s="2" t="inlineStr">
        <is>
          <t>Sales</t>
        </is>
      </c>
      <c r="F9" s="4" t="n">
        <v>18401</v>
      </c>
      <c r="G9" s="2" t="inlineStr">
        <is>
          <t>FY25 TB.csv</t>
        </is>
      </c>
      <c r="H9" s="2" t="inlineStr">
        <is>
          <t>Prior Year</t>
        </is>
      </c>
    </row>
    <row r="10">
      <c r="A10" s="2" t="inlineStr">
        <is>
          <t>1081</t>
        </is>
      </c>
      <c r="B10" s="2" t="inlineStr">
        <is>
          <t>1081</t>
        </is>
      </c>
      <c r="C10" s="2" t="inlineStr">
        <is>
          <t>Accumulated Depreciation - Ops</t>
        </is>
      </c>
      <c r="D10" s="2" t="inlineStr">
        <is>
          <t>Assets</t>
        </is>
      </c>
      <c r="E10" s="2" t="inlineStr">
        <is>
          <t>Ops</t>
        </is>
      </c>
      <c r="F10" s="4" t="n">
        <v>-33234</v>
      </c>
      <c r="G10" s="2" t="inlineStr">
        <is>
          <t>FY25 TB.csv</t>
        </is>
      </c>
      <c r="H10" s="2" t="inlineStr">
        <is>
          <t>Prior Year</t>
        </is>
      </c>
    </row>
    <row r="11">
      <c r="A11" s="2" t="inlineStr">
        <is>
          <t>1090</t>
        </is>
      </c>
      <c r="B11" s="2" t="inlineStr">
        <is>
          <t>1090</t>
        </is>
      </c>
      <c r="C11" s="2" t="inlineStr">
        <is>
          <t>Cash - Ops</t>
        </is>
      </c>
      <c r="D11" s="2" t="inlineStr">
        <is>
          <t>Assets</t>
        </is>
      </c>
      <c r="E11" s="2" t="inlineStr">
        <is>
          <t>Ops</t>
        </is>
      </c>
      <c r="F11" s="4" t="n">
        <v>87019</v>
      </c>
      <c r="G11" s="2" t="inlineStr">
        <is>
          <t>FY25 TB.csv</t>
        </is>
      </c>
      <c r="H11" s="2" t="inlineStr">
        <is>
          <t>Prior Year</t>
        </is>
      </c>
    </row>
    <row r="12">
      <c r="A12" s="2" t="inlineStr">
        <is>
          <t>1103</t>
        </is>
      </c>
      <c r="B12" s="2" t="inlineStr">
        <is>
          <t>1103</t>
        </is>
      </c>
      <c r="C12" s="2" t="inlineStr">
        <is>
          <t>Accounts Receivable - Corporate</t>
        </is>
      </c>
      <c r="D12" s="2" t="inlineStr">
        <is>
          <t>Assets</t>
        </is>
      </c>
      <c r="E12" s="2" t="inlineStr">
        <is>
          <t>Corporate</t>
        </is>
      </c>
      <c r="F12" s="4" t="n">
        <v>4468</v>
      </c>
      <c r="G12" s="2" t="inlineStr">
        <is>
          <t>FY25 TB.csv</t>
        </is>
      </c>
      <c r="H12" s="2" t="inlineStr">
        <is>
          <t>Prior Year</t>
        </is>
      </c>
    </row>
    <row r="13">
      <c r="A13" s="2" t="inlineStr">
        <is>
          <t>1114</t>
        </is>
      </c>
      <c r="B13" s="2" t="inlineStr">
        <is>
          <t>1114</t>
        </is>
      </c>
      <c r="C13" s="2" t="inlineStr">
        <is>
          <t>Accounts Receivable - Corporate</t>
        </is>
      </c>
      <c r="D13" s="2" t="inlineStr">
        <is>
          <t>Assets</t>
        </is>
      </c>
      <c r="E13" s="2" t="inlineStr">
        <is>
          <t>Corporate</t>
        </is>
      </c>
      <c r="F13" s="4" t="n">
        <v>47302</v>
      </c>
      <c r="G13" s="2" t="inlineStr">
        <is>
          <t>FY25 TB.csv</t>
        </is>
      </c>
      <c r="H13" s="2" t="inlineStr">
        <is>
          <t>Prior Year</t>
        </is>
      </c>
    </row>
    <row r="14">
      <c r="A14" s="2" t="inlineStr">
        <is>
          <t>1121</t>
        </is>
      </c>
      <c r="B14" s="2" t="inlineStr">
        <is>
          <t>1121</t>
        </is>
      </c>
      <c r="C14" s="2" t="inlineStr">
        <is>
          <t>Inventory - Ops</t>
        </is>
      </c>
      <c r="D14" s="2" t="inlineStr">
        <is>
          <t>Assets</t>
        </is>
      </c>
      <c r="E14" s="2" t="inlineStr">
        <is>
          <t>Ops</t>
        </is>
      </c>
      <c r="F14" s="4" t="n">
        <v>36974</v>
      </c>
      <c r="G14" s="2" t="inlineStr">
        <is>
          <t>FY25 TB.csv</t>
        </is>
      </c>
      <c r="H14" s="2" t="inlineStr">
        <is>
          <t>Prior Year</t>
        </is>
      </c>
    </row>
    <row r="15">
      <c r="A15" s="2" t="inlineStr">
        <is>
          <t>1130</t>
        </is>
      </c>
      <c r="B15" s="2" t="inlineStr">
        <is>
          <t>1130</t>
        </is>
      </c>
      <c r="C15" s="2" t="inlineStr">
        <is>
          <t>Prepaid Expense - Warehouse</t>
        </is>
      </c>
      <c r="D15" s="2" t="inlineStr">
        <is>
          <t>Assets</t>
        </is>
      </c>
      <c r="E15" s="2" t="inlineStr">
        <is>
          <t>Warehouse</t>
        </is>
      </c>
      <c r="F15" s="4" t="n">
        <v>22266</v>
      </c>
      <c r="G15" s="2" t="inlineStr">
        <is>
          <t>FY25 TB.csv</t>
        </is>
      </c>
      <c r="H15" s="2" t="inlineStr">
        <is>
          <t>Prior Year</t>
        </is>
      </c>
    </row>
    <row r="16">
      <c r="A16" s="2" t="inlineStr">
        <is>
          <t>1145</t>
        </is>
      </c>
      <c r="B16" s="2" t="inlineStr">
        <is>
          <t>1145</t>
        </is>
      </c>
      <c r="C16" s="2" t="inlineStr">
        <is>
          <t>Fixed Assets - Admin</t>
        </is>
      </c>
      <c r="D16" s="2" t="inlineStr">
        <is>
          <t>Assets</t>
        </is>
      </c>
      <c r="E16" s="2" t="inlineStr">
        <is>
          <t>Admin</t>
        </is>
      </c>
      <c r="F16" s="4" t="n">
        <v>119331</v>
      </c>
      <c r="G16" s="2" t="inlineStr">
        <is>
          <t>FY25 TB.csv</t>
        </is>
      </c>
      <c r="H16" s="2" t="inlineStr">
        <is>
          <t>Prior Year</t>
        </is>
      </c>
    </row>
    <row r="17">
      <c r="A17" s="2" t="inlineStr">
        <is>
          <t>1150</t>
        </is>
      </c>
      <c r="B17" s="2" t="inlineStr">
        <is>
          <t>1150</t>
        </is>
      </c>
      <c r="C17" s="2" t="inlineStr">
        <is>
          <t>Accumulated Depreciation - Sales</t>
        </is>
      </c>
      <c r="D17" s="2" t="inlineStr">
        <is>
          <t>Assets</t>
        </is>
      </c>
      <c r="E17" s="2" t="inlineStr">
        <is>
          <t>Sales</t>
        </is>
      </c>
      <c r="F17" s="4" t="n">
        <v>-23842</v>
      </c>
      <c r="G17" s="2" t="inlineStr">
        <is>
          <t>FY25 TB.csv</t>
        </is>
      </c>
      <c r="H17" s="2" t="inlineStr">
        <is>
          <t>Prior Year</t>
        </is>
      </c>
    </row>
    <row r="18">
      <c r="A18" s="2" t="inlineStr">
        <is>
          <t>1162</t>
        </is>
      </c>
      <c r="B18" s="2" t="inlineStr">
        <is>
          <t>1162</t>
        </is>
      </c>
      <c r="C18" s="2" t="inlineStr">
        <is>
          <t>Cash - Corporate</t>
        </is>
      </c>
      <c r="D18" s="2" t="inlineStr">
        <is>
          <t>Assets</t>
        </is>
      </c>
      <c r="E18" s="2" t="inlineStr">
        <is>
          <t>Corporate</t>
        </is>
      </c>
      <c r="F18" s="4" t="n">
        <v>119436</v>
      </c>
      <c r="G18" s="2" t="inlineStr">
        <is>
          <t>FY25 TB.csv</t>
        </is>
      </c>
      <c r="H18" s="2" t="inlineStr">
        <is>
          <t>Prior Year</t>
        </is>
      </c>
    </row>
    <row r="19">
      <c r="A19" s="2" t="inlineStr">
        <is>
          <t>1174</t>
        </is>
      </c>
      <c r="B19" s="2" t="inlineStr">
        <is>
          <t>1174</t>
        </is>
      </c>
      <c r="C19" s="2" t="inlineStr">
        <is>
          <t>Accounts Receivable - Warehouse</t>
        </is>
      </c>
      <c r="D19" s="2" t="inlineStr">
        <is>
          <t>Assets</t>
        </is>
      </c>
      <c r="E19" s="2" t="inlineStr">
        <is>
          <t>Warehouse</t>
        </is>
      </c>
      <c r="F19" s="4" t="n">
        <v>217536</v>
      </c>
      <c r="G19" s="2" t="inlineStr">
        <is>
          <t>FY25 TB.csv</t>
        </is>
      </c>
      <c r="H19" s="2" t="inlineStr">
        <is>
          <t>Prior Year</t>
        </is>
      </c>
    </row>
    <row r="20">
      <c r="A20" s="2" t="inlineStr">
        <is>
          <t>1181</t>
        </is>
      </c>
      <c r="B20" s="2" t="inlineStr">
        <is>
          <t>1181</t>
        </is>
      </c>
      <c r="C20" s="2" t="inlineStr">
        <is>
          <t>Inventory - Sales</t>
        </is>
      </c>
      <c r="D20" s="2" t="inlineStr">
        <is>
          <t>Assets</t>
        </is>
      </c>
      <c r="E20" s="2" t="inlineStr">
        <is>
          <t>Sales</t>
        </is>
      </c>
      <c r="F20" s="4" t="n">
        <v>35390</v>
      </c>
      <c r="G20" s="2" t="inlineStr">
        <is>
          <t>FY25 TB.csv</t>
        </is>
      </c>
      <c r="H20" s="2" t="inlineStr">
        <is>
          <t>Prior Year</t>
        </is>
      </c>
    </row>
    <row r="21">
      <c r="A21" s="2" t="inlineStr">
        <is>
          <t>1193</t>
        </is>
      </c>
      <c r="B21" s="2" t="inlineStr">
        <is>
          <t>1193</t>
        </is>
      </c>
      <c r="C21" s="2" t="inlineStr">
        <is>
          <t>Accounts Receivable - Corporate</t>
        </is>
      </c>
      <c r="D21" s="2" t="inlineStr">
        <is>
          <t>Assets</t>
        </is>
      </c>
      <c r="E21" s="2" t="inlineStr">
        <is>
          <t>Corporate</t>
        </is>
      </c>
      <c r="F21" s="4" t="n">
        <v>40973</v>
      </c>
      <c r="G21" s="2" t="inlineStr">
        <is>
          <t>FY25 TB.csv</t>
        </is>
      </c>
      <c r="H21" s="2" t="inlineStr">
        <is>
          <t>Prior Year</t>
        </is>
      </c>
    </row>
    <row r="22">
      <c r="A22" s="2" t="inlineStr">
        <is>
          <t>1203</t>
        </is>
      </c>
      <c r="B22" s="2" t="inlineStr">
        <is>
          <t>1203</t>
        </is>
      </c>
      <c r="C22" s="2" t="inlineStr">
        <is>
          <t>Accumulated Depreciation - Sales</t>
        </is>
      </c>
      <c r="D22" s="2" t="inlineStr">
        <is>
          <t>Assets</t>
        </is>
      </c>
      <c r="E22" s="2" t="inlineStr">
        <is>
          <t>Sales</t>
        </is>
      </c>
      <c r="F22" s="4" t="n">
        <v>-29140</v>
      </c>
      <c r="G22" s="2" t="inlineStr">
        <is>
          <t>FY25 TB.csv</t>
        </is>
      </c>
      <c r="H22" s="2" t="inlineStr">
        <is>
          <t>Prior Year</t>
        </is>
      </c>
    </row>
    <row r="23">
      <c r="A23" s="2" t="inlineStr">
        <is>
          <t>1214</t>
        </is>
      </c>
      <c r="B23" s="2" t="inlineStr">
        <is>
          <t>1214</t>
        </is>
      </c>
      <c r="C23" s="2" t="inlineStr">
        <is>
          <t>Inventory - Admin</t>
        </is>
      </c>
      <c r="D23" s="2" t="inlineStr">
        <is>
          <t>Assets</t>
        </is>
      </c>
      <c r="E23" s="2" t="inlineStr">
        <is>
          <t>Admin</t>
        </is>
      </c>
      <c r="F23" s="4" t="n">
        <v>45468</v>
      </c>
      <c r="G23" s="2" t="inlineStr">
        <is>
          <t>FY25 TB.csv</t>
        </is>
      </c>
      <c r="H23" s="2" t="inlineStr">
        <is>
          <t>Prior Year</t>
        </is>
      </c>
    </row>
    <row r="24">
      <c r="A24" s="2" t="inlineStr">
        <is>
          <t>1222</t>
        </is>
      </c>
      <c r="B24" s="2" t="inlineStr">
        <is>
          <t>1222</t>
        </is>
      </c>
      <c r="C24" s="2" t="inlineStr">
        <is>
          <t>Fixed Assets - Ops</t>
        </is>
      </c>
      <c r="D24" s="2" t="inlineStr">
        <is>
          <t>Assets</t>
        </is>
      </c>
      <c r="E24" s="2" t="inlineStr">
        <is>
          <t>Ops</t>
        </is>
      </c>
      <c r="F24" s="4" t="n">
        <v>52519</v>
      </c>
      <c r="G24" s="2" t="inlineStr">
        <is>
          <t>FY25 TB.csv</t>
        </is>
      </c>
      <c r="H24" s="2" t="inlineStr">
        <is>
          <t>Prior Year</t>
        </is>
      </c>
    </row>
    <row r="25">
      <c r="A25" s="2" t="inlineStr">
        <is>
          <t>1231</t>
        </is>
      </c>
      <c r="B25" s="2" t="inlineStr">
        <is>
          <t>1231</t>
        </is>
      </c>
      <c r="C25" s="2" t="inlineStr">
        <is>
          <t>Prepaid Expense - IT</t>
        </is>
      </c>
      <c r="D25" s="2" t="inlineStr">
        <is>
          <t>Assets</t>
        </is>
      </c>
      <c r="E25" s="2" t="inlineStr">
        <is>
          <t>IT</t>
        </is>
      </c>
      <c r="F25" s="4" t="n">
        <v>4718</v>
      </c>
      <c r="G25" s="2" t="inlineStr">
        <is>
          <t>FY25 TB.csv</t>
        </is>
      </c>
      <c r="H25" s="2" t="inlineStr">
        <is>
          <t>Prior Year</t>
        </is>
      </c>
    </row>
    <row r="26">
      <c r="A26" s="2" t="inlineStr">
        <is>
          <t>1245</t>
        </is>
      </c>
      <c r="B26" s="2" t="inlineStr">
        <is>
          <t>1245</t>
        </is>
      </c>
      <c r="C26" s="2" t="inlineStr">
        <is>
          <t>Accumulated Depreciation - Admin</t>
        </is>
      </c>
      <c r="D26" s="2" t="inlineStr">
        <is>
          <t>Assets</t>
        </is>
      </c>
      <c r="E26" s="2" t="inlineStr">
        <is>
          <t>Admin</t>
        </is>
      </c>
      <c r="F26" s="4" t="n">
        <v>-76423</v>
      </c>
      <c r="G26" s="2" t="inlineStr">
        <is>
          <t>FY25 TB.csv</t>
        </is>
      </c>
      <c r="H26" s="2" t="inlineStr">
        <is>
          <t>Prior Year</t>
        </is>
      </c>
    </row>
    <row r="27">
      <c r="A27" s="2" t="inlineStr">
        <is>
          <t>2004</t>
        </is>
      </c>
      <c r="B27" s="2" t="inlineStr">
        <is>
          <t>2004</t>
        </is>
      </c>
      <c r="C27" s="2" t="inlineStr">
        <is>
          <t>Accrued Expense - Ops</t>
        </is>
      </c>
      <c r="D27" s="2" t="inlineStr">
        <is>
          <t>Liabilities</t>
        </is>
      </c>
      <c r="E27" s="2" t="inlineStr">
        <is>
          <t>Ops</t>
        </is>
      </c>
      <c r="F27" s="4" t="n">
        <v>-31179</v>
      </c>
      <c r="G27" s="2" t="inlineStr">
        <is>
          <t>FY25 TB.csv</t>
        </is>
      </c>
      <c r="H27" s="2" t="inlineStr">
        <is>
          <t>Prior Year</t>
        </is>
      </c>
    </row>
    <row r="28">
      <c r="A28" s="2" t="inlineStr">
        <is>
          <t>2014</t>
        </is>
      </c>
      <c r="B28" s="2" t="inlineStr">
        <is>
          <t>2014</t>
        </is>
      </c>
      <c r="C28" s="2" t="inlineStr">
        <is>
          <t>Accounts Payable - IT</t>
        </is>
      </c>
      <c r="D28" s="2" t="inlineStr">
        <is>
          <t>Liabilities</t>
        </is>
      </c>
      <c r="E28" s="2" t="inlineStr">
        <is>
          <t>IT</t>
        </is>
      </c>
      <c r="F28" s="4" t="n">
        <v>-4999</v>
      </c>
      <c r="G28" s="2" t="inlineStr">
        <is>
          <t>FY25 TB.csv</t>
        </is>
      </c>
      <c r="H28" s="2" t="inlineStr">
        <is>
          <t>Prior Year</t>
        </is>
      </c>
    </row>
    <row r="29">
      <c r="A29" s="2" t="inlineStr">
        <is>
          <t>2021</t>
        </is>
      </c>
      <c r="B29" s="2" t="inlineStr">
        <is>
          <t>2021</t>
        </is>
      </c>
      <c r="C29" s="2" t="inlineStr">
        <is>
          <t>Accounts Payable - Ops</t>
        </is>
      </c>
      <c r="D29" s="2" t="inlineStr">
        <is>
          <t>Liabilities</t>
        </is>
      </c>
      <c r="E29" s="2" t="inlineStr">
        <is>
          <t>Ops</t>
        </is>
      </c>
      <c r="F29" s="4" t="n">
        <v>-26647</v>
      </c>
      <c r="G29" s="2" t="inlineStr">
        <is>
          <t>FY25 TB.csv</t>
        </is>
      </c>
      <c r="H29" s="2" t="inlineStr">
        <is>
          <t>Prior Year</t>
        </is>
      </c>
    </row>
    <row r="30">
      <c r="A30" s="2" t="inlineStr">
        <is>
          <t>2033</t>
        </is>
      </c>
      <c r="B30" s="2" t="inlineStr">
        <is>
          <t>2033</t>
        </is>
      </c>
      <c r="C30" s="2" t="inlineStr">
        <is>
          <t>Notes Payable - Sales</t>
        </is>
      </c>
      <c r="D30" s="2" t="inlineStr">
        <is>
          <t>Liabilities</t>
        </is>
      </c>
      <c r="E30" s="2" t="inlineStr">
        <is>
          <t>Sales</t>
        </is>
      </c>
      <c r="F30" s="4" t="n">
        <v>-126937</v>
      </c>
      <c r="G30" s="2" t="inlineStr">
        <is>
          <t>FY25 TB.csv</t>
        </is>
      </c>
      <c r="H30" s="2" t="inlineStr">
        <is>
          <t>Prior Year</t>
        </is>
      </c>
    </row>
    <row r="31">
      <c r="A31" s="2" t="inlineStr">
        <is>
          <t>2041</t>
        </is>
      </c>
      <c r="B31" s="2" t="inlineStr">
        <is>
          <t>2041</t>
        </is>
      </c>
      <c r="C31" s="2" t="inlineStr">
        <is>
          <t>Notes Payable - Ops</t>
        </is>
      </c>
      <c r="D31" s="2" t="inlineStr">
        <is>
          <t>Liabilities</t>
        </is>
      </c>
      <c r="E31" s="2" t="inlineStr">
        <is>
          <t>Ops</t>
        </is>
      </c>
      <c r="F31" s="4" t="n">
        <v>-48860</v>
      </c>
      <c r="G31" s="2" t="inlineStr">
        <is>
          <t>FY25 TB.csv</t>
        </is>
      </c>
      <c r="H31" s="2" t="inlineStr">
        <is>
          <t>Prior Year</t>
        </is>
      </c>
    </row>
    <row r="32">
      <c r="A32" s="2" t="inlineStr">
        <is>
          <t>2054</t>
        </is>
      </c>
      <c r="B32" s="2" t="inlineStr">
        <is>
          <t>2054</t>
        </is>
      </c>
      <c r="C32" s="2" t="inlineStr">
        <is>
          <t>Payroll Liabilities - IT</t>
        </is>
      </c>
      <c r="D32" s="2" t="inlineStr">
        <is>
          <t>Liabilities</t>
        </is>
      </c>
      <c r="E32" s="2" t="inlineStr">
        <is>
          <t>IT</t>
        </is>
      </c>
      <c r="F32" s="4" t="n">
        <v>-168462</v>
      </c>
      <c r="G32" s="2" t="inlineStr">
        <is>
          <t>FY25 TB.csv</t>
        </is>
      </c>
      <c r="H32" s="2" t="inlineStr">
        <is>
          <t>Prior Year</t>
        </is>
      </c>
    </row>
    <row r="33">
      <c r="A33" s="2" t="inlineStr">
        <is>
          <t>2064</t>
        </is>
      </c>
      <c r="B33" s="2" t="inlineStr">
        <is>
          <t>2064</t>
        </is>
      </c>
      <c r="C33" s="2" t="inlineStr">
        <is>
          <t>Accrued Expense - Admin</t>
        </is>
      </c>
      <c r="D33" s="2" t="inlineStr">
        <is>
          <t>Liabilities</t>
        </is>
      </c>
      <c r="E33" s="2" t="inlineStr">
        <is>
          <t>Admin</t>
        </is>
      </c>
      <c r="F33" s="4" t="n">
        <v>-2151</v>
      </c>
      <c r="G33" s="2" t="inlineStr">
        <is>
          <t>FY25 TB.csv</t>
        </is>
      </c>
      <c r="H33" s="2" t="inlineStr">
        <is>
          <t>Prior Year</t>
        </is>
      </c>
    </row>
    <row r="34">
      <c r="A34" s="2" t="inlineStr">
        <is>
          <t>2070</t>
        </is>
      </c>
      <c r="B34" s="2" t="inlineStr">
        <is>
          <t>2070</t>
        </is>
      </c>
      <c r="C34" s="2" t="inlineStr">
        <is>
          <t>Accounts Payable - Warehouse</t>
        </is>
      </c>
      <c r="D34" s="2" t="inlineStr">
        <is>
          <t>Liabilities</t>
        </is>
      </c>
      <c r="E34" s="2" t="inlineStr">
        <is>
          <t>Warehouse</t>
        </is>
      </c>
      <c r="F34" s="4" t="n">
        <v>-26034</v>
      </c>
      <c r="G34" s="2" t="inlineStr">
        <is>
          <t>FY25 TB.csv</t>
        </is>
      </c>
      <c r="H34" s="2" t="inlineStr">
        <is>
          <t>Prior Year</t>
        </is>
      </c>
    </row>
    <row r="35">
      <c r="A35" s="2" t="inlineStr">
        <is>
          <t>2085</t>
        </is>
      </c>
      <c r="B35" s="2" t="inlineStr">
        <is>
          <t>2085</t>
        </is>
      </c>
      <c r="C35" s="2" t="inlineStr">
        <is>
          <t>Accrued Expense - Corporate</t>
        </is>
      </c>
      <c r="D35" s="2" t="inlineStr">
        <is>
          <t>Liabilities</t>
        </is>
      </c>
      <c r="E35" s="2" t="inlineStr">
        <is>
          <t>Corporate</t>
        </is>
      </c>
      <c r="F35" s="4" t="n">
        <v>-23528</v>
      </c>
      <c r="G35" s="2" t="inlineStr">
        <is>
          <t>FY25 TB.csv</t>
        </is>
      </c>
      <c r="H35" s="2" t="inlineStr">
        <is>
          <t>Prior Year</t>
        </is>
      </c>
    </row>
    <row r="36">
      <c r="A36" s="2" t="inlineStr">
        <is>
          <t>2090</t>
        </is>
      </c>
      <c r="B36" s="2" t="inlineStr">
        <is>
          <t>2090</t>
        </is>
      </c>
      <c r="C36" s="2" t="inlineStr">
        <is>
          <t>Notes Payable - Sales</t>
        </is>
      </c>
      <c r="D36" s="2" t="inlineStr">
        <is>
          <t>Liabilities</t>
        </is>
      </c>
      <c r="E36" s="2" t="inlineStr">
        <is>
          <t>Sales</t>
        </is>
      </c>
      <c r="F36" s="4" t="n">
        <v>-40949</v>
      </c>
      <c r="G36" s="2" t="inlineStr">
        <is>
          <t>FY25 TB.csv</t>
        </is>
      </c>
      <c r="H36" s="2" t="inlineStr">
        <is>
          <t>Prior Year</t>
        </is>
      </c>
    </row>
    <row r="37">
      <c r="A37" s="2" t="inlineStr">
        <is>
          <t>2100</t>
        </is>
      </c>
      <c r="B37" s="2" t="inlineStr">
        <is>
          <t>2100</t>
        </is>
      </c>
      <c r="C37" s="2" t="inlineStr">
        <is>
          <t>Accrued Expense - Sales</t>
        </is>
      </c>
      <c r="D37" s="2" t="inlineStr">
        <is>
          <t>Liabilities</t>
        </is>
      </c>
      <c r="E37" s="2" t="inlineStr">
        <is>
          <t>Sales</t>
        </is>
      </c>
      <c r="F37" s="4" t="n">
        <v>-101926</v>
      </c>
      <c r="G37" s="2" t="inlineStr">
        <is>
          <t>FY25 TB.csv</t>
        </is>
      </c>
      <c r="H37" s="2" t="inlineStr">
        <is>
          <t>Prior Year</t>
        </is>
      </c>
    </row>
    <row r="38">
      <c r="A38" s="2" t="inlineStr">
        <is>
          <t>2115</t>
        </is>
      </c>
      <c r="B38" s="2" t="inlineStr">
        <is>
          <t>2115</t>
        </is>
      </c>
      <c r="C38" s="2" t="inlineStr">
        <is>
          <t>Payroll Liabilities - Admin</t>
        </is>
      </c>
      <c r="D38" s="2" t="inlineStr">
        <is>
          <t>Liabilities</t>
        </is>
      </c>
      <c r="E38" s="2" t="inlineStr">
        <is>
          <t>Admin</t>
        </is>
      </c>
      <c r="F38" s="4" t="n">
        <v>-78941</v>
      </c>
      <c r="G38" s="2" t="inlineStr">
        <is>
          <t>FY25 TB.csv</t>
        </is>
      </c>
      <c r="H38" s="2" t="inlineStr">
        <is>
          <t>Prior Year</t>
        </is>
      </c>
    </row>
    <row r="39">
      <c r="A39" s="2" t="inlineStr">
        <is>
          <t>2124</t>
        </is>
      </c>
      <c r="B39" s="2" t="inlineStr">
        <is>
          <t>2124</t>
        </is>
      </c>
      <c r="C39" s="2" t="inlineStr">
        <is>
          <t>Deferred Revenue - Sales</t>
        </is>
      </c>
      <c r="D39" s="2" t="inlineStr">
        <is>
          <t>Liabilities</t>
        </is>
      </c>
      <c r="E39" s="2" t="inlineStr">
        <is>
          <t>Sales</t>
        </is>
      </c>
      <c r="F39" s="4" t="n">
        <v>-17061</v>
      </c>
      <c r="G39" s="2" t="inlineStr">
        <is>
          <t>FY25 TB.csv</t>
        </is>
      </c>
      <c r="H39" s="2" t="inlineStr">
        <is>
          <t>Prior Year</t>
        </is>
      </c>
    </row>
    <row r="40">
      <c r="A40" s="2" t="inlineStr">
        <is>
          <t>2132</t>
        </is>
      </c>
      <c r="B40" s="2" t="inlineStr">
        <is>
          <t>2132</t>
        </is>
      </c>
      <c r="C40" s="2" t="inlineStr">
        <is>
          <t>Payroll Liabilities - IT</t>
        </is>
      </c>
      <c r="D40" s="2" t="inlineStr">
        <is>
          <t>Liabilities</t>
        </is>
      </c>
      <c r="E40" s="2" t="inlineStr">
        <is>
          <t>IT</t>
        </is>
      </c>
      <c r="F40" s="4" t="n">
        <v>-10793</v>
      </c>
      <c r="G40" s="2" t="inlineStr">
        <is>
          <t>FY25 TB.csv</t>
        </is>
      </c>
      <c r="H40" s="2" t="inlineStr">
        <is>
          <t>Prior Year</t>
        </is>
      </c>
    </row>
    <row r="41">
      <c r="A41" s="2" t="inlineStr">
        <is>
          <t>2145</t>
        </is>
      </c>
      <c r="B41" s="2" t="inlineStr">
        <is>
          <t>2145</t>
        </is>
      </c>
      <c r="C41" s="2" t="inlineStr">
        <is>
          <t>Deferred Revenue - Ops</t>
        </is>
      </c>
      <c r="D41" s="2" t="inlineStr">
        <is>
          <t>Liabilities</t>
        </is>
      </c>
      <c r="E41" s="2" t="inlineStr">
        <is>
          <t>Ops</t>
        </is>
      </c>
      <c r="F41" s="4" t="n">
        <v>-25874</v>
      </c>
      <c r="G41" s="2" t="inlineStr">
        <is>
          <t>FY25 TB.csv</t>
        </is>
      </c>
      <c r="H41" s="2" t="inlineStr">
        <is>
          <t>Prior Year</t>
        </is>
      </c>
    </row>
    <row r="42">
      <c r="A42" s="2" t="inlineStr">
        <is>
          <t>2150</t>
        </is>
      </c>
      <c r="B42" s="2" t="inlineStr">
        <is>
          <t>2150</t>
        </is>
      </c>
      <c r="C42" s="2" t="inlineStr">
        <is>
          <t>Accrued Expense - Warehouse</t>
        </is>
      </c>
      <c r="D42" s="2" t="inlineStr">
        <is>
          <t>Liabilities</t>
        </is>
      </c>
      <c r="E42" s="2" t="inlineStr">
        <is>
          <t>Warehouse</t>
        </is>
      </c>
      <c r="F42" s="4" t="n">
        <v>-143616</v>
      </c>
      <c r="G42" s="2" t="inlineStr">
        <is>
          <t>FY25 TB.csv</t>
        </is>
      </c>
      <c r="H42" s="2" t="inlineStr">
        <is>
          <t>Prior Year</t>
        </is>
      </c>
    </row>
    <row r="43">
      <c r="A43" s="2" t="inlineStr">
        <is>
          <t>2160</t>
        </is>
      </c>
      <c r="B43" s="2" t="inlineStr">
        <is>
          <t>2160</t>
        </is>
      </c>
      <c r="C43" s="2" t="inlineStr">
        <is>
          <t>Deferred Revenue - Sales</t>
        </is>
      </c>
      <c r="D43" s="2" t="inlineStr">
        <is>
          <t>Liabilities</t>
        </is>
      </c>
      <c r="E43" s="2" t="inlineStr">
        <is>
          <t>Sales</t>
        </is>
      </c>
      <c r="F43" s="4" t="n">
        <v>-86368</v>
      </c>
      <c r="G43" s="2" t="inlineStr">
        <is>
          <t>FY25 TB.csv</t>
        </is>
      </c>
      <c r="H43" s="2" t="inlineStr">
        <is>
          <t>Prior Year</t>
        </is>
      </c>
    </row>
    <row r="44">
      <c r="A44" s="2" t="inlineStr">
        <is>
          <t>2174</t>
        </is>
      </c>
      <c r="B44" s="2" t="inlineStr">
        <is>
          <t>2174</t>
        </is>
      </c>
      <c r="C44" s="2" t="inlineStr">
        <is>
          <t>Payroll Liabilities - IT</t>
        </is>
      </c>
      <c r="D44" s="2" t="inlineStr">
        <is>
          <t>Liabilities</t>
        </is>
      </c>
      <c r="E44" s="2" t="inlineStr">
        <is>
          <t>IT</t>
        </is>
      </c>
      <c r="F44" s="4" t="n">
        <v>-21178</v>
      </c>
      <c r="G44" s="2" t="inlineStr">
        <is>
          <t>FY25 TB.csv</t>
        </is>
      </c>
      <c r="H44" s="2" t="inlineStr">
        <is>
          <t>Prior Year</t>
        </is>
      </c>
    </row>
    <row r="45">
      <c r="A45" s="2" t="inlineStr">
        <is>
          <t>2181</t>
        </is>
      </c>
      <c r="B45" s="2" t="inlineStr">
        <is>
          <t>2181</t>
        </is>
      </c>
      <c r="C45" s="2" t="inlineStr">
        <is>
          <t>Notes Payable - Admin</t>
        </is>
      </c>
      <c r="D45" s="2" t="inlineStr">
        <is>
          <t>Liabilities</t>
        </is>
      </c>
      <c r="E45" s="2" t="inlineStr">
        <is>
          <t>Admin</t>
        </is>
      </c>
      <c r="F45" s="4" t="n">
        <v>-66683</v>
      </c>
      <c r="G45" s="2" t="inlineStr">
        <is>
          <t>FY25 TB.csv</t>
        </is>
      </c>
      <c r="H45" s="2" t="inlineStr">
        <is>
          <t>Prior Year</t>
        </is>
      </c>
    </row>
    <row r="46">
      <c r="A46" s="2" t="inlineStr">
        <is>
          <t>2190</t>
        </is>
      </c>
      <c r="B46" s="2" t="inlineStr">
        <is>
          <t>2190</t>
        </is>
      </c>
      <c r="C46" s="2" t="inlineStr">
        <is>
          <t>Accounts Payable - IT</t>
        </is>
      </c>
      <c r="D46" s="2" t="inlineStr">
        <is>
          <t>Liabilities</t>
        </is>
      </c>
      <c r="E46" s="2" t="inlineStr">
        <is>
          <t>IT</t>
        </is>
      </c>
      <c r="F46" s="4" t="n">
        <v>-80110</v>
      </c>
      <c r="G46" s="2" t="inlineStr">
        <is>
          <t>FY25 TB.csv</t>
        </is>
      </c>
      <c r="H46" s="2" t="inlineStr">
        <is>
          <t>Prior Year</t>
        </is>
      </c>
    </row>
    <row r="47">
      <c r="A47" s="2" t="inlineStr">
        <is>
          <t>2201</t>
        </is>
      </c>
      <c r="B47" s="2" t="inlineStr">
        <is>
          <t>2201</t>
        </is>
      </c>
      <c r="C47" s="2" t="inlineStr">
        <is>
          <t>Deferred Revenue - Ops</t>
        </is>
      </c>
      <c r="D47" s="2" t="inlineStr">
        <is>
          <t>Liabilities</t>
        </is>
      </c>
      <c r="E47" s="2" t="inlineStr">
        <is>
          <t>Ops</t>
        </is>
      </c>
      <c r="F47" s="4" t="n">
        <v>-4138</v>
      </c>
      <c r="G47" s="2" t="inlineStr">
        <is>
          <t>FY25 TB.csv</t>
        </is>
      </c>
      <c r="H47" s="2" t="inlineStr">
        <is>
          <t>Prior Year</t>
        </is>
      </c>
    </row>
    <row r="48">
      <c r="A48" s="2" t="inlineStr">
        <is>
          <t>2215</t>
        </is>
      </c>
      <c r="B48" s="2" t="inlineStr">
        <is>
          <t>2215</t>
        </is>
      </c>
      <c r="C48" s="2" t="inlineStr">
        <is>
          <t>Payroll Liabilities - IT</t>
        </is>
      </c>
      <c r="D48" s="2" t="inlineStr">
        <is>
          <t>Liabilities</t>
        </is>
      </c>
      <c r="E48" s="2" t="inlineStr">
        <is>
          <t>IT</t>
        </is>
      </c>
      <c r="F48" s="4" t="n">
        <v>-106966</v>
      </c>
      <c r="G48" s="2" t="inlineStr">
        <is>
          <t>FY25 TB.csv</t>
        </is>
      </c>
      <c r="H48" s="2" t="inlineStr">
        <is>
          <t>Prior Year</t>
        </is>
      </c>
    </row>
    <row r="49">
      <c r="A49" s="2" t="inlineStr">
        <is>
          <t>2224</t>
        </is>
      </c>
      <c r="B49" s="2" t="inlineStr">
        <is>
          <t>2224</t>
        </is>
      </c>
      <c r="C49" s="2" t="inlineStr">
        <is>
          <t>Deferred Revenue - IT</t>
        </is>
      </c>
      <c r="D49" s="2" t="inlineStr">
        <is>
          <t>Liabilities</t>
        </is>
      </c>
      <c r="E49" s="2" t="inlineStr">
        <is>
          <t>IT</t>
        </is>
      </c>
      <c r="F49" s="4" t="n">
        <v>-84644</v>
      </c>
      <c r="G49" s="2" t="inlineStr">
        <is>
          <t>FY25 TB.csv</t>
        </is>
      </c>
      <c r="H49" s="2" t="inlineStr">
        <is>
          <t>Prior Year</t>
        </is>
      </c>
    </row>
    <row r="50">
      <c r="A50" s="2" t="inlineStr">
        <is>
          <t>2235</t>
        </is>
      </c>
      <c r="B50" s="2" t="inlineStr">
        <is>
          <t>2235</t>
        </is>
      </c>
      <c r="C50" s="2" t="inlineStr">
        <is>
          <t>Payroll Liabilities - Warehouse</t>
        </is>
      </c>
      <c r="D50" s="2" t="inlineStr">
        <is>
          <t>Liabilities</t>
        </is>
      </c>
      <c r="E50" s="2" t="inlineStr">
        <is>
          <t>Warehouse</t>
        </is>
      </c>
      <c r="F50" s="4" t="n">
        <v>-156183</v>
      </c>
      <c r="G50" s="2" t="inlineStr">
        <is>
          <t>FY25 TB.csv</t>
        </is>
      </c>
      <c r="H50" s="2" t="inlineStr">
        <is>
          <t>Prior Year</t>
        </is>
      </c>
    </row>
    <row r="51">
      <c r="A51" s="2" t="inlineStr">
        <is>
          <t>2242</t>
        </is>
      </c>
      <c r="B51" s="2" t="inlineStr">
        <is>
          <t>2242</t>
        </is>
      </c>
      <c r="C51" s="2" t="inlineStr">
        <is>
          <t>Accounts Payable - Corporate</t>
        </is>
      </c>
      <c r="D51" s="2" t="inlineStr">
        <is>
          <t>Liabilities</t>
        </is>
      </c>
      <c r="E51" s="2" t="inlineStr">
        <is>
          <t>Corporate</t>
        </is>
      </c>
      <c r="F51" s="4" t="n">
        <v>-68027</v>
      </c>
      <c r="G51" s="2" t="inlineStr">
        <is>
          <t>FY25 TB.csv</t>
        </is>
      </c>
      <c r="H51" s="2" t="inlineStr">
        <is>
          <t>Prior Year</t>
        </is>
      </c>
    </row>
    <row r="52">
      <c r="A52" s="2" t="inlineStr">
        <is>
          <t>3005</t>
        </is>
      </c>
      <c r="B52" s="2" t="inlineStr">
        <is>
          <t>3005</t>
        </is>
      </c>
      <c r="C52" s="2" t="inlineStr">
        <is>
          <t>Distributions - IT</t>
        </is>
      </c>
      <c r="D52" s="2" t="inlineStr">
        <is>
          <t>Equity</t>
        </is>
      </c>
      <c r="E52" s="2" t="inlineStr">
        <is>
          <t>IT</t>
        </is>
      </c>
      <c r="F52" s="4" t="n">
        <v>-24302</v>
      </c>
      <c r="G52" s="2" t="inlineStr">
        <is>
          <t>FY25 TB.csv</t>
        </is>
      </c>
      <c r="H52" s="2" t="inlineStr">
        <is>
          <t>Prior Year</t>
        </is>
      </c>
    </row>
    <row r="53">
      <c r="A53" s="2" t="inlineStr">
        <is>
          <t>3014</t>
        </is>
      </c>
      <c r="B53" s="2" t="inlineStr">
        <is>
          <t>3014</t>
        </is>
      </c>
      <c r="C53" s="2" t="inlineStr">
        <is>
          <t>Retained Earnings - Warehouse</t>
        </is>
      </c>
      <c r="D53" s="2" t="inlineStr">
        <is>
          <t>Equity</t>
        </is>
      </c>
      <c r="E53" s="2" t="inlineStr">
        <is>
          <t>Warehouse</t>
        </is>
      </c>
      <c r="F53" s="4" t="n">
        <v>-17062</v>
      </c>
      <c r="G53" s="2" t="inlineStr">
        <is>
          <t>FY25 TB.csv</t>
        </is>
      </c>
      <c r="H53" s="2" t="inlineStr">
        <is>
          <t>Prior Year</t>
        </is>
      </c>
    </row>
    <row r="54">
      <c r="A54" s="2" t="inlineStr">
        <is>
          <t>3023</t>
        </is>
      </c>
      <c r="B54" s="2" t="inlineStr">
        <is>
          <t>3023</t>
        </is>
      </c>
      <c r="C54" s="2" t="inlineStr">
        <is>
          <t>Distributions - IT</t>
        </is>
      </c>
      <c r="D54" s="2" t="inlineStr">
        <is>
          <t>Equity</t>
        </is>
      </c>
      <c r="E54" s="2" t="inlineStr">
        <is>
          <t>IT</t>
        </is>
      </c>
      <c r="F54" s="4" t="n">
        <v>-32010</v>
      </c>
      <c r="G54" s="2" t="inlineStr">
        <is>
          <t>FY25 TB.csv</t>
        </is>
      </c>
      <c r="H54" s="2" t="inlineStr">
        <is>
          <t>Prior Year</t>
        </is>
      </c>
    </row>
    <row r="55">
      <c r="A55" s="2" t="inlineStr">
        <is>
          <t>3030</t>
        </is>
      </c>
      <c r="B55" s="2" t="inlineStr">
        <is>
          <t>3030</t>
        </is>
      </c>
      <c r="C55" s="2" t="inlineStr">
        <is>
          <t>Retained Earnings - Corporate</t>
        </is>
      </c>
      <c r="D55" s="2" t="inlineStr">
        <is>
          <t>Equity</t>
        </is>
      </c>
      <c r="E55" s="2" t="inlineStr">
        <is>
          <t>Corporate</t>
        </is>
      </c>
      <c r="F55" s="4" t="n">
        <v>-12047</v>
      </c>
      <c r="G55" s="2" t="inlineStr">
        <is>
          <t>FY25 TB.csv</t>
        </is>
      </c>
      <c r="H55" s="2" t="inlineStr">
        <is>
          <t>Prior Year</t>
        </is>
      </c>
    </row>
    <row r="56">
      <c r="A56" s="2" t="inlineStr">
        <is>
          <t>3042</t>
        </is>
      </c>
      <c r="B56" s="2" t="inlineStr">
        <is>
          <t>3042</t>
        </is>
      </c>
      <c r="C56" s="2" t="inlineStr">
        <is>
          <t>Retained Earnings - Corporate</t>
        </is>
      </c>
      <c r="D56" s="2" t="inlineStr">
        <is>
          <t>Equity</t>
        </is>
      </c>
      <c r="E56" s="2" t="inlineStr">
        <is>
          <t>Corporate</t>
        </is>
      </c>
      <c r="F56" s="4" t="n">
        <v>-20134</v>
      </c>
      <c r="G56" s="2" t="inlineStr">
        <is>
          <t>FY25 TB.csv</t>
        </is>
      </c>
      <c r="H56" s="2" t="inlineStr">
        <is>
          <t>Prior Year</t>
        </is>
      </c>
    </row>
    <row r="57">
      <c r="A57" s="2" t="inlineStr">
        <is>
          <t>3053</t>
        </is>
      </c>
      <c r="B57" s="2" t="inlineStr">
        <is>
          <t>3053</t>
        </is>
      </c>
      <c r="C57" s="2" t="inlineStr">
        <is>
          <t>Common Stock - IT</t>
        </is>
      </c>
      <c r="D57" s="2" t="inlineStr">
        <is>
          <t>Equity</t>
        </is>
      </c>
      <c r="E57" s="2" t="inlineStr">
        <is>
          <t>IT</t>
        </is>
      </c>
      <c r="F57" s="4" t="n">
        <v>-173013</v>
      </c>
      <c r="G57" s="2" t="inlineStr">
        <is>
          <t>FY25 TB.csv</t>
        </is>
      </c>
      <c r="H57" s="2" t="inlineStr">
        <is>
          <t>Prior Year</t>
        </is>
      </c>
    </row>
    <row r="58">
      <c r="A58" s="2" t="inlineStr">
        <is>
          <t>3061</t>
        </is>
      </c>
      <c r="B58" s="2" t="inlineStr">
        <is>
          <t>3061</t>
        </is>
      </c>
      <c r="C58" s="2" t="inlineStr">
        <is>
          <t>Current Year Earnings - Ops</t>
        </is>
      </c>
      <c r="D58" s="2" t="inlineStr">
        <is>
          <t>Equity</t>
        </is>
      </c>
      <c r="E58" s="2" t="inlineStr">
        <is>
          <t>Ops</t>
        </is>
      </c>
      <c r="F58" s="4" t="n">
        <v>-236162</v>
      </c>
      <c r="G58" s="2" t="inlineStr">
        <is>
          <t>FY25 TB.csv</t>
        </is>
      </c>
      <c r="H58" s="2" t="inlineStr">
        <is>
          <t>Prior Year</t>
        </is>
      </c>
    </row>
    <row r="59">
      <c r="A59" s="2" t="inlineStr">
        <is>
          <t>3074</t>
        </is>
      </c>
      <c r="B59" s="2" t="inlineStr">
        <is>
          <t>3074</t>
        </is>
      </c>
      <c r="C59" s="2" t="inlineStr">
        <is>
          <t>Retained Earnings - Corporate</t>
        </is>
      </c>
      <c r="D59" s="2" t="inlineStr">
        <is>
          <t>Equity</t>
        </is>
      </c>
      <c r="E59" s="2" t="inlineStr">
        <is>
          <t>Corporate</t>
        </is>
      </c>
      <c r="F59" s="4" t="n">
        <v>-31653</v>
      </c>
      <c r="G59" s="2" t="inlineStr">
        <is>
          <t>FY25 TB.csv</t>
        </is>
      </c>
      <c r="H59" s="2" t="inlineStr">
        <is>
          <t>Prior Year</t>
        </is>
      </c>
    </row>
    <row r="60">
      <c r="A60" s="2" t="inlineStr">
        <is>
          <t>3084</t>
        </is>
      </c>
      <c r="B60" s="2" t="inlineStr">
        <is>
          <t>3084</t>
        </is>
      </c>
      <c r="C60" s="2" t="inlineStr">
        <is>
          <t>Distributions - IT</t>
        </is>
      </c>
      <c r="D60" s="2" t="inlineStr">
        <is>
          <t>Equity</t>
        </is>
      </c>
      <c r="E60" s="2" t="inlineStr">
        <is>
          <t>IT</t>
        </is>
      </c>
      <c r="F60" s="4" t="n">
        <v>-9421</v>
      </c>
      <c r="G60" s="2" t="inlineStr">
        <is>
          <t>FY25 TB.csv</t>
        </is>
      </c>
      <c r="H60" s="2" t="inlineStr">
        <is>
          <t>Prior Year</t>
        </is>
      </c>
    </row>
    <row r="61">
      <c r="A61" s="2" t="inlineStr">
        <is>
          <t>3092</t>
        </is>
      </c>
      <c r="B61" s="2" t="inlineStr">
        <is>
          <t>3092</t>
        </is>
      </c>
      <c r="C61" s="2" t="inlineStr">
        <is>
          <t>Current Year Earnings - IT</t>
        </is>
      </c>
      <c r="D61" s="2" t="inlineStr">
        <is>
          <t>Equity</t>
        </is>
      </c>
      <c r="E61" s="2" t="inlineStr">
        <is>
          <t>IT</t>
        </is>
      </c>
      <c r="F61" s="4" t="n">
        <v>-538882</v>
      </c>
      <c r="G61" s="2" t="inlineStr">
        <is>
          <t>FY25 TB.csv</t>
        </is>
      </c>
      <c r="H61" s="2" t="inlineStr">
        <is>
          <t>Prior Year</t>
        </is>
      </c>
    </row>
    <row r="62">
      <c r="A62" s="2" t="inlineStr">
        <is>
          <t>3101</t>
        </is>
      </c>
      <c r="B62" s="2" t="inlineStr">
        <is>
          <t>3101</t>
        </is>
      </c>
      <c r="C62" s="2" t="inlineStr">
        <is>
          <t>Current Year Earnings - Corporate</t>
        </is>
      </c>
      <c r="D62" s="2" t="inlineStr">
        <is>
          <t>Equity</t>
        </is>
      </c>
      <c r="E62" s="2" t="inlineStr">
        <is>
          <t>Corporate</t>
        </is>
      </c>
      <c r="F62" s="4" t="n">
        <v>-23881</v>
      </c>
      <c r="G62" s="2" t="inlineStr">
        <is>
          <t>FY25 TB.csv</t>
        </is>
      </c>
      <c r="H62" s="2" t="inlineStr">
        <is>
          <t>Prior Year</t>
        </is>
      </c>
    </row>
    <row r="63">
      <c r="A63" s="2" t="inlineStr">
        <is>
          <t>3110</t>
        </is>
      </c>
      <c r="B63" s="2" t="inlineStr">
        <is>
          <t>3110</t>
        </is>
      </c>
      <c r="C63" s="2" t="inlineStr">
        <is>
          <t>Distributions - Warehouse</t>
        </is>
      </c>
      <c r="D63" s="2" t="inlineStr">
        <is>
          <t>Equity</t>
        </is>
      </c>
      <c r="E63" s="2" t="inlineStr">
        <is>
          <t>Warehouse</t>
        </is>
      </c>
      <c r="F63" s="4" t="n">
        <v>-16204</v>
      </c>
      <c r="G63" s="2" t="inlineStr">
        <is>
          <t>FY25 TB.csv</t>
        </is>
      </c>
      <c r="H63" s="2" t="inlineStr">
        <is>
          <t>Prior Year</t>
        </is>
      </c>
    </row>
    <row r="64">
      <c r="A64" s="2" t="inlineStr">
        <is>
          <t>3123</t>
        </is>
      </c>
      <c r="B64" s="2" t="inlineStr">
        <is>
          <t>3123</t>
        </is>
      </c>
      <c r="C64" s="2" t="inlineStr">
        <is>
          <t>Common Stock - IT</t>
        </is>
      </c>
      <c r="D64" s="2" t="inlineStr">
        <is>
          <t>Equity</t>
        </is>
      </c>
      <c r="E64" s="2" t="inlineStr">
        <is>
          <t>IT</t>
        </is>
      </c>
      <c r="F64" s="4" t="n">
        <v>-21094</v>
      </c>
      <c r="G64" s="2" t="inlineStr">
        <is>
          <t>FY25 TB.csv</t>
        </is>
      </c>
      <c r="H64" s="2" t="inlineStr">
        <is>
          <t>Prior Year</t>
        </is>
      </c>
    </row>
    <row r="65">
      <c r="A65" s="2" t="inlineStr">
        <is>
          <t>3133</t>
        </is>
      </c>
      <c r="B65" s="2" t="inlineStr">
        <is>
          <t>3133</t>
        </is>
      </c>
      <c r="C65" s="2" t="inlineStr">
        <is>
          <t>Common Stock - Warehouse</t>
        </is>
      </c>
      <c r="D65" s="2" t="inlineStr">
        <is>
          <t>Equity</t>
        </is>
      </c>
      <c r="E65" s="2" t="inlineStr">
        <is>
          <t>Warehouse</t>
        </is>
      </c>
      <c r="F65" s="4" t="n">
        <v>-18220</v>
      </c>
      <c r="G65" s="2" t="inlineStr">
        <is>
          <t>FY25 TB.csv</t>
        </is>
      </c>
      <c r="H65" s="2" t="inlineStr">
        <is>
          <t>Prior Year</t>
        </is>
      </c>
    </row>
    <row r="66">
      <c r="A66" s="2" t="inlineStr">
        <is>
          <t>3145</t>
        </is>
      </c>
      <c r="B66" s="2" t="inlineStr">
        <is>
          <t>3145</t>
        </is>
      </c>
      <c r="C66" s="2" t="inlineStr">
        <is>
          <t>Current Year Earnings - Warehouse</t>
        </is>
      </c>
      <c r="D66" s="2" t="inlineStr">
        <is>
          <t>Equity</t>
        </is>
      </c>
      <c r="E66" s="2" t="inlineStr">
        <is>
          <t>Warehouse</t>
        </is>
      </c>
      <c r="F66" s="4" t="n">
        <v>-271381</v>
      </c>
      <c r="G66" s="2" t="inlineStr">
        <is>
          <t>FY25 TB.csv</t>
        </is>
      </c>
      <c r="H66" s="2" t="inlineStr">
        <is>
          <t>Prior Year</t>
        </is>
      </c>
    </row>
    <row r="67">
      <c r="A67" s="2" t="inlineStr">
        <is>
          <t>3153</t>
        </is>
      </c>
      <c r="B67" s="2" t="inlineStr">
        <is>
          <t>3153</t>
        </is>
      </c>
      <c r="C67" s="2" t="inlineStr">
        <is>
          <t>Distributions - IT</t>
        </is>
      </c>
      <c r="D67" s="2" t="inlineStr">
        <is>
          <t>Equity</t>
        </is>
      </c>
      <c r="E67" s="2" t="inlineStr">
        <is>
          <t>IT</t>
        </is>
      </c>
      <c r="F67" s="4" t="n">
        <v>-10753</v>
      </c>
      <c r="G67" s="2" t="inlineStr">
        <is>
          <t>FY25 TB.csv</t>
        </is>
      </c>
      <c r="H67" s="2" t="inlineStr">
        <is>
          <t>Prior Year</t>
        </is>
      </c>
    </row>
    <row r="68">
      <c r="A68" s="2" t="inlineStr">
        <is>
          <t>3161</t>
        </is>
      </c>
      <c r="B68" s="2" t="inlineStr">
        <is>
          <t>3161</t>
        </is>
      </c>
      <c r="C68" s="2" t="inlineStr">
        <is>
          <t>Retained Earnings - IT</t>
        </is>
      </c>
      <c r="D68" s="2" t="inlineStr">
        <is>
          <t>Equity</t>
        </is>
      </c>
      <c r="E68" s="2" t="inlineStr">
        <is>
          <t>IT</t>
        </is>
      </c>
      <c r="F68" s="4" t="n">
        <v>-375248</v>
      </c>
      <c r="G68" s="2" t="inlineStr">
        <is>
          <t>FY25 TB.csv</t>
        </is>
      </c>
      <c r="H68" s="2" t="inlineStr">
        <is>
          <t>Prior Year</t>
        </is>
      </c>
    </row>
    <row r="69">
      <c r="A69" s="2" t="inlineStr">
        <is>
          <t>3173</t>
        </is>
      </c>
      <c r="B69" s="2" t="inlineStr">
        <is>
          <t>3173</t>
        </is>
      </c>
      <c r="C69" s="2" t="inlineStr">
        <is>
          <t>Current Year Earnings - Ops</t>
        </is>
      </c>
      <c r="D69" s="2" t="inlineStr">
        <is>
          <t>Equity</t>
        </is>
      </c>
      <c r="E69" s="2" t="inlineStr">
        <is>
          <t>Ops</t>
        </is>
      </c>
      <c r="F69" s="4" t="n">
        <v>-17361</v>
      </c>
      <c r="G69" s="2" t="inlineStr">
        <is>
          <t>FY25 TB.csv</t>
        </is>
      </c>
      <c r="H69" s="2" t="inlineStr">
        <is>
          <t>Prior Year</t>
        </is>
      </c>
    </row>
    <row r="70">
      <c r="A70" s="2" t="inlineStr">
        <is>
          <t>3182</t>
        </is>
      </c>
      <c r="B70" s="2" t="inlineStr">
        <is>
          <t>3182</t>
        </is>
      </c>
      <c r="C70" s="2" t="inlineStr">
        <is>
          <t>Distributions - IT</t>
        </is>
      </c>
      <c r="D70" s="2" t="inlineStr">
        <is>
          <t>Equity</t>
        </is>
      </c>
      <c r="E70" s="2" t="inlineStr">
        <is>
          <t>IT</t>
        </is>
      </c>
      <c r="F70" s="4" t="n">
        <v>-475553</v>
      </c>
      <c r="G70" s="2" t="inlineStr">
        <is>
          <t>FY25 TB.csv</t>
        </is>
      </c>
      <c r="H70" s="2" t="inlineStr">
        <is>
          <t>Prior Year</t>
        </is>
      </c>
    </row>
    <row r="71">
      <c r="A71" s="2" t="inlineStr">
        <is>
          <t>3194</t>
        </is>
      </c>
      <c r="B71" s="2" t="inlineStr">
        <is>
          <t>3194</t>
        </is>
      </c>
      <c r="C71" s="2" t="inlineStr">
        <is>
          <t>Common Stock - Corporate</t>
        </is>
      </c>
      <c r="D71" s="2" t="inlineStr">
        <is>
          <t>Equity</t>
        </is>
      </c>
      <c r="E71" s="2" t="inlineStr">
        <is>
          <t>Corporate</t>
        </is>
      </c>
      <c r="F71" s="4" t="n">
        <v>-21852</v>
      </c>
      <c r="G71" s="2" t="inlineStr">
        <is>
          <t>FY25 TB.csv</t>
        </is>
      </c>
      <c r="H71" s="2" t="inlineStr">
        <is>
          <t>Prior Year</t>
        </is>
      </c>
    </row>
    <row r="72">
      <c r="A72" s="2" t="inlineStr">
        <is>
          <t>3203</t>
        </is>
      </c>
      <c r="B72" s="2" t="inlineStr">
        <is>
          <t>3203</t>
        </is>
      </c>
      <c r="C72" s="2" t="inlineStr">
        <is>
          <t>Retained Earnings - Ops</t>
        </is>
      </c>
      <c r="D72" s="2" t="inlineStr">
        <is>
          <t>Equity</t>
        </is>
      </c>
      <c r="E72" s="2" t="inlineStr">
        <is>
          <t>Ops</t>
        </is>
      </c>
      <c r="F72" s="4" t="n">
        <v>-70737</v>
      </c>
      <c r="G72" s="2" t="inlineStr">
        <is>
          <t>FY25 TB.csv</t>
        </is>
      </c>
      <c r="H72" s="2" t="inlineStr">
        <is>
          <t>Prior Year</t>
        </is>
      </c>
    </row>
    <row r="73">
      <c r="A73" s="2" t="inlineStr">
        <is>
          <t>3214</t>
        </is>
      </c>
      <c r="B73" s="2" t="inlineStr">
        <is>
          <t>3214</t>
        </is>
      </c>
      <c r="C73" s="2" t="inlineStr">
        <is>
          <t>Distributions - Ops</t>
        </is>
      </c>
      <c r="D73" s="2" t="inlineStr">
        <is>
          <t>Equity</t>
        </is>
      </c>
      <c r="E73" s="2" t="inlineStr">
        <is>
          <t>Ops</t>
        </is>
      </c>
      <c r="F73" s="4" t="n">
        <v>-75349</v>
      </c>
      <c r="G73" s="2" t="inlineStr">
        <is>
          <t>FY25 TB.csv</t>
        </is>
      </c>
      <c r="H73" s="2" t="inlineStr">
        <is>
          <t>Prior Year</t>
        </is>
      </c>
    </row>
    <row r="74">
      <c r="A74" s="2" t="inlineStr">
        <is>
          <t>3225</t>
        </is>
      </c>
      <c r="B74" s="2" t="inlineStr">
        <is>
          <t>3225</t>
        </is>
      </c>
      <c r="C74" s="2" t="inlineStr">
        <is>
          <t>Current Year Earnings - IT</t>
        </is>
      </c>
      <c r="D74" s="2" t="inlineStr">
        <is>
          <t>Equity</t>
        </is>
      </c>
      <c r="E74" s="2" t="inlineStr">
        <is>
          <t>IT</t>
        </is>
      </c>
      <c r="F74" s="4" t="n">
        <v>-10211</v>
      </c>
      <c r="G74" s="2" t="inlineStr">
        <is>
          <t>FY25 TB.csv</t>
        </is>
      </c>
      <c r="H74" s="2" t="inlineStr">
        <is>
          <t>Prior Year</t>
        </is>
      </c>
    </row>
    <row r="75">
      <c r="A75" s="2" t="inlineStr">
        <is>
          <t>3234</t>
        </is>
      </c>
      <c r="B75" s="2" t="inlineStr">
        <is>
          <t>3234</t>
        </is>
      </c>
      <c r="C75" s="2" t="inlineStr">
        <is>
          <t>Distributions - Corporate</t>
        </is>
      </c>
      <c r="D75" s="2" t="inlineStr">
        <is>
          <t>Equity</t>
        </is>
      </c>
      <c r="E75" s="2" t="inlineStr">
        <is>
          <t>Corporate</t>
        </is>
      </c>
      <c r="F75" s="4" t="n">
        <v>-40862</v>
      </c>
      <c r="G75" s="2" t="inlineStr">
        <is>
          <t>FY25 TB.csv</t>
        </is>
      </c>
      <c r="H75" s="2" t="inlineStr">
        <is>
          <t>Prior Year</t>
        </is>
      </c>
    </row>
    <row r="76">
      <c r="A76" s="2" t="inlineStr">
        <is>
          <t>3245</t>
        </is>
      </c>
      <c r="B76" s="2" t="inlineStr">
        <is>
          <t>3245</t>
        </is>
      </c>
      <c r="C76" s="2" t="inlineStr">
        <is>
          <t>Common Stock - Warehouse</t>
        </is>
      </c>
      <c r="D76" s="2" t="inlineStr">
        <is>
          <t>Equity</t>
        </is>
      </c>
      <c r="E76" s="2" t="inlineStr">
        <is>
          <t>Warehouse</t>
        </is>
      </c>
      <c r="F76" s="4" t="n">
        <v>-5939</v>
      </c>
      <c r="G76" s="2" t="inlineStr">
        <is>
          <t>FY25 TB.csv</t>
        </is>
      </c>
      <c r="H76" s="2" t="inlineStr">
        <is>
          <t>Prior Year</t>
        </is>
      </c>
    </row>
    <row r="77">
      <c r="A77" s="2" t="inlineStr">
        <is>
          <t>4003</t>
        </is>
      </c>
      <c r="B77" s="2" t="inlineStr">
        <is>
          <t>4003</t>
        </is>
      </c>
      <c r="C77" s="2" t="inlineStr">
        <is>
          <t>Discounts - Corporate</t>
        </is>
      </c>
      <c r="D77" s="2" t="inlineStr">
        <is>
          <t>Revenue</t>
        </is>
      </c>
      <c r="E77" s="2" t="inlineStr">
        <is>
          <t>Corporate</t>
        </is>
      </c>
      <c r="F77" s="4" t="n">
        <v>-68186</v>
      </c>
      <c r="G77" s="2" t="inlineStr">
        <is>
          <t>FY25 TB.csv</t>
        </is>
      </c>
      <c r="H77" s="2" t="inlineStr">
        <is>
          <t>Prior Year</t>
        </is>
      </c>
    </row>
    <row r="78">
      <c r="A78" s="2" t="inlineStr">
        <is>
          <t>4013</t>
        </is>
      </c>
      <c r="B78" s="2" t="inlineStr">
        <is>
          <t>4013</t>
        </is>
      </c>
      <c r="C78" s="2" t="inlineStr">
        <is>
          <t>Other Income - IT</t>
        </is>
      </c>
      <c r="D78" s="2" t="inlineStr">
        <is>
          <t>Revenue</t>
        </is>
      </c>
      <c r="E78" s="2" t="inlineStr">
        <is>
          <t>IT</t>
        </is>
      </c>
      <c r="F78" s="4" t="n">
        <v>-24079</v>
      </c>
      <c r="G78" s="2" t="inlineStr">
        <is>
          <t>FY25 TB.csv</t>
        </is>
      </c>
      <c r="H78" s="2" t="inlineStr">
        <is>
          <t>Prior Year</t>
        </is>
      </c>
    </row>
    <row r="79">
      <c r="A79" s="2" t="inlineStr">
        <is>
          <t>4023</t>
        </is>
      </c>
      <c r="B79" s="2" t="inlineStr">
        <is>
          <t>4023</t>
        </is>
      </c>
      <c r="C79" s="2" t="inlineStr">
        <is>
          <t>Product Revenue - Sales</t>
        </is>
      </c>
      <c r="D79" s="2" t="inlineStr">
        <is>
          <t>Revenue</t>
        </is>
      </c>
      <c r="E79" s="2" t="inlineStr">
        <is>
          <t>Sales</t>
        </is>
      </c>
      <c r="F79" s="4" t="n">
        <v>-15980</v>
      </c>
      <c r="G79" s="2" t="inlineStr">
        <is>
          <t>FY25 TB.csv</t>
        </is>
      </c>
      <c r="H79" s="2" t="inlineStr">
        <is>
          <t>Prior Year</t>
        </is>
      </c>
    </row>
    <row r="80">
      <c r="A80" s="2" t="inlineStr">
        <is>
          <t>4032</t>
        </is>
      </c>
      <c r="B80" s="2" t="inlineStr">
        <is>
          <t>4032</t>
        </is>
      </c>
      <c r="C80" s="2" t="inlineStr">
        <is>
          <t>Product Revenue - IT</t>
        </is>
      </c>
      <c r="D80" s="2" t="inlineStr">
        <is>
          <t>Revenue</t>
        </is>
      </c>
      <c r="E80" s="2" t="inlineStr">
        <is>
          <t>IT</t>
        </is>
      </c>
      <c r="F80" s="4" t="n">
        <v>-18165</v>
      </c>
      <c r="G80" s="2" t="inlineStr">
        <is>
          <t>FY25 TB.csv</t>
        </is>
      </c>
      <c r="H80" s="2" t="inlineStr">
        <is>
          <t>Prior Year</t>
        </is>
      </c>
    </row>
    <row r="81">
      <c r="A81" s="2" t="inlineStr">
        <is>
          <t>4042</t>
        </is>
      </c>
      <c r="B81" s="2" t="inlineStr">
        <is>
          <t>4042</t>
        </is>
      </c>
      <c r="C81" s="2" t="inlineStr">
        <is>
          <t>Other Income - Corporate</t>
        </is>
      </c>
      <c r="D81" s="2" t="inlineStr">
        <is>
          <t>Revenue</t>
        </is>
      </c>
      <c r="E81" s="2" t="inlineStr">
        <is>
          <t>Corporate</t>
        </is>
      </c>
      <c r="F81" s="4" t="n">
        <v>-44268</v>
      </c>
      <c r="G81" s="2" t="inlineStr">
        <is>
          <t>FY25 TB.csv</t>
        </is>
      </c>
      <c r="H81" s="2" t="inlineStr">
        <is>
          <t>Prior Year</t>
        </is>
      </c>
    </row>
    <row r="82">
      <c r="A82" s="2" t="inlineStr">
        <is>
          <t>4054</t>
        </is>
      </c>
      <c r="B82" s="2" t="inlineStr">
        <is>
          <t>4054</t>
        </is>
      </c>
      <c r="C82" s="2" t="inlineStr">
        <is>
          <t>Returns and Allowances - IT</t>
        </is>
      </c>
      <c r="D82" s="2" t="inlineStr">
        <is>
          <t>Revenue</t>
        </is>
      </c>
      <c r="E82" s="2" t="inlineStr">
        <is>
          <t>IT</t>
        </is>
      </c>
      <c r="F82" s="4" t="n">
        <v>-151977</v>
      </c>
      <c r="G82" s="2" t="inlineStr">
        <is>
          <t>FY25 TB.csv</t>
        </is>
      </c>
      <c r="H82" s="2" t="inlineStr">
        <is>
          <t>Prior Year</t>
        </is>
      </c>
    </row>
    <row r="83">
      <c r="A83" s="2" t="inlineStr">
        <is>
          <t>4062</t>
        </is>
      </c>
      <c r="B83" s="2" t="inlineStr">
        <is>
          <t>4062</t>
        </is>
      </c>
      <c r="C83" s="2" t="inlineStr">
        <is>
          <t>Product Revenue - Admin</t>
        </is>
      </c>
      <c r="D83" s="2" t="inlineStr">
        <is>
          <t>Revenue</t>
        </is>
      </c>
      <c r="E83" s="2" t="inlineStr">
        <is>
          <t>Admin</t>
        </is>
      </c>
      <c r="F83" s="4" t="n">
        <v>-7711</v>
      </c>
      <c r="G83" s="2" t="inlineStr">
        <is>
          <t>FY25 TB.csv</t>
        </is>
      </c>
      <c r="H83" s="2" t="inlineStr">
        <is>
          <t>Prior Year</t>
        </is>
      </c>
    </row>
    <row r="84">
      <c r="A84" s="2" t="inlineStr">
        <is>
          <t>4074</t>
        </is>
      </c>
      <c r="B84" s="2" t="inlineStr">
        <is>
          <t>4074</t>
        </is>
      </c>
      <c r="C84" s="2" t="inlineStr">
        <is>
          <t>Returns and Allowances - Warehouse</t>
        </is>
      </c>
      <c r="D84" s="2" t="inlineStr">
        <is>
          <t>Revenue</t>
        </is>
      </c>
      <c r="E84" s="2" t="inlineStr">
        <is>
          <t>Warehouse</t>
        </is>
      </c>
      <c r="F84" s="4" t="n">
        <v>-41496</v>
      </c>
      <c r="G84" s="2" t="inlineStr">
        <is>
          <t>FY25 TB.csv</t>
        </is>
      </c>
      <c r="H84" s="2" t="inlineStr">
        <is>
          <t>Prior Year</t>
        </is>
      </c>
    </row>
    <row r="85">
      <c r="A85" s="2" t="inlineStr">
        <is>
          <t>4085</t>
        </is>
      </c>
      <c r="B85" s="2" t="inlineStr">
        <is>
          <t>4085</t>
        </is>
      </c>
      <c r="C85" s="2" t="inlineStr">
        <is>
          <t>Service Revenue - Admin</t>
        </is>
      </c>
      <c r="D85" s="2" t="inlineStr">
        <is>
          <t>Revenue</t>
        </is>
      </c>
      <c r="E85" s="2" t="inlineStr">
        <is>
          <t>Admin</t>
        </is>
      </c>
      <c r="F85" s="4" t="n">
        <v>-19950</v>
      </c>
      <c r="G85" s="2" t="inlineStr">
        <is>
          <t>FY25 TB.csv</t>
        </is>
      </c>
      <c r="H85" s="2" t="inlineStr">
        <is>
          <t>Prior Year</t>
        </is>
      </c>
    </row>
    <row r="86">
      <c r="A86" s="2" t="inlineStr">
        <is>
          <t>4091</t>
        </is>
      </c>
      <c r="B86" s="2" t="inlineStr">
        <is>
          <t>4091</t>
        </is>
      </c>
      <c r="C86" s="2" t="inlineStr">
        <is>
          <t>Service Revenue - Ops</t>
        </is>
      </c>
      <c r="D86" s="2" t="inlineStr">
        <is>
          <t>Revenue</t>
        </is>
      </c>
      <c r="E86" s="2" t="inlineStr">
        <is>
          <t>Ops</t>
        </is>
      </c>
      <c r="F86" s="4" t="n">
        <v>-63944</v>
      </c>
      <c r="G86" s="2" t="inlineStr">
        <is>
          <t>FY25 TB.csv</t>
        </is>
      </c>
      <c r="H86" s="2" t="inlineStr">
        <is>
          <t>Prior Year</t>
        </is>
      </c>
    </row>
    <row r="87">
      <c r="A87" s="2" t="inlineStr">
        <is>
          <t>4100</t>
        </is>
      </c>
      <c r="B87" s="2" t="inlineStr">
        <is>
          <t>4100</t>
        </is>
      </c>
      <c r="C87" s="2" t="inlineStr">
        <is>
          <t>Other Income - Sales</t>
        </is>
      </c>
      <c r="D87" s="2" t="inlineStr">
        <is>
          <t>Revenue</t>
        </is>
      </c>
      <c r="E87" s="2" t="inlineStr">
        <is>
          <t>Sales</t>
        </is>
      </c>
      <c r="F87" s="4" t="n">
        <v>-81703</v>
      </c>
      <c r="G87" s="2" t="inlineStr">
        <is>
          <t>FY25 TB.csv</t>
        </is>
      </c>
      <c r="H87" s="2" t="inlineStr">
        <is>
          <t>Prior Year</t>
        </is>
      </c>
    </row>
    <row r="88">
      <c r="A88" s="2" t="inlineStr">
        <is>
          <t>4112</t>
        </is>
      </c>
      <c r="B88" s="2" t="inlineStr">
        <is>
          <t>4112</t>
        </is>
      </c>
      <c r="C88" s="2" t="inlineStr">
        <is>
          <t>Other Income - Ops</t>
        </is>
      </c>
      <c r="D88" s="2" t="inlineStr">
        <is>
          <t>Revenue</t>
        </is>
      </c>
      <c r="E88" s="2" t="inlineStr">
        <is>
          <t>Ops</t>
        </is>
      </c>
      <c r="F88" s="4" t="n">
        <v>-94539</v>
      </c>
      <c r="G88" s="2" t="inlineStr">
        <is>
          <t>FY25 TB.csv</t>
        </is>
      </c>
      <c r="H88" s="2" t="inlineStr">
        <is>
          <t>Prior Year</t>
        </is>
      </c>
    </row>
    <row r="89">
      <c r="A89" s="2" t="inlineStr">
        <is>
          <t>4120</t>
        </is>
      </c>
      <c r="B89" s="2" t="inlineStr">
        <is>
          <t>4120</t>
        </is>
      </c>
      <c r="C89" s="2" t="inlineStr">
        <is>
          <t>Discounts - Ops</t>
        </is>
      </c>
      <c r="D89" s="2" t="inlineStr">
        <is>
          <t>Revenue</t>
        </is>
      </c>
      <c r="E89" s="2" t="inlineStr">
        <is>
          <t>Ops</t>
        </is>
      </c>
      <c r="F89" s="4" t="n">
        <v>-35120</v>
      </c>
      <c r="G89" s="2" t="inlineStr">
        <is>
          <t>FY25 TB.csv</t>
        </is>
      </c>
      <c r="H89" s="2" t="inlineStr">
        <is>
          <t>Prior Year</t>
        </is>
      </c>
    </row>
    <row r="90">
      <c r="A90" s="2" t="inlineStr">
        <is>
          <t>4130</t>
        </is>
      </c>
      <c r="B90" s="2" t="inlineStr">
        <is>
          <t>4130</t>
        </is>
      </c>
      <c r="C90" s="2" t="inlineStr">
        <is>
          <t>Other Income - Sales</t>
        </is>
      </c>
      <c r="D90" s="2" t="inlineStr">
        <is>
          <t>Revenue</t>
        </is>
      </c>
      <c r="E90" s="2" t="inlineStr">
        <is>
          <t>Sales</t>
        </is>
      </c>
      <c r="F90" s="4" t="n">
        <v>-114961</v>
      </c>
      <c r="G90" s="2" t="inlineStr">
        <is>
          <t>FY25 TB.csv</t>
        </is>
      </c>
      <c r="H90" s="2" t="inlineStr">
        <is>
          <t>Prior Year</t>
        </is>
      </c>
    </row>
    <row r="91">
      <c r="A91" s="2" t="inlineStr">
        <is>
          <t>4143</t>
        </is>
      </c>
      <c r="B91" s="2" t="inlineStr">
        <is>
          <t>4143</t>
        </is>
      </c>
      <c r="C91" s="2" t="inlineStr">
        <is>
          <t>Other Income - IT</t>
        </is>
      </c>
      <c r="D91" s="2" t="inlineStr">
        <is>
          <t>Revenue</t>
        </is>
      </c>
      <c r="E91" s="2" t="inlineStr">
        <is>
          <t>IT</t>
        </is>
      </c>
      <c r="F91" s="4" t="n">
        <v>-98457</v>
      </c>
      <c r="G91" s="2" t="inlineStr">
        <is>
          <t>FY25 TB.csv</t>
        </is>
      </c>
      <c r="H91" s="2" t="inlineStr">
        <is>
          <t>Prior Year</t>
        </is>
      </c>
    </row>
    <row r="92">
      <c r="A92" s="2" t="inlineStr">
        <is>
          <t>4150</t>
        </is>
      </c>
      <c r="B92" s="2" t="inlineStr">
        <is>
          <t>4150</t>
        </is>
      </c>
      <c r="C92" s="2" t="inlineStr">
        <is>
          <t>Other Income - Warehouse</t>
        </is>
      </c>
      <c r="D92" s="2" t="inlineStr">
        <is>
          <t>Revenue</t>
        </is>
      </c>
      <c r="E92" s="2" t="inlineStr">
        <is>
          <t>Warehouse</t>
        </is>
      </c>
      <c r="F92" s="4" t="n">
        <v>-74878</v>
      </c>
      <c r="G92" s="2" t="inlineStr">
        <is>
          <t>FY25 TB.csv</t>
        </is>
      </c>
      <c r="H92" s="2" t="inlineStr">
        <is>
          <t>Prior Year</t>
        </is>
      </c>
    </row>
    <row r="93">
      <c r="A93" s="2" t="inlineStr">
        <is>
          <t>4161</t>
        </is>
      </c>
      <c r="B93" s="2" t="inlineStr">
        <is>
          <t>4161</t>
        </is>
      </c>
      <c r="C93" s="2" t="inlineStr">
        <is>
          <t>Service Revenue - Ops</t>
        </is>
      </c>
      <c r="D93" s="2" t="inlineStr">
        <is>
          <t>Revenue</t>
        </is>
      </c>
      <c r="E93" s="2" t="inlineStr">
        <is>
          <t>Ops</t>
        </is>
      </c>
      <c r="F93" s="4" t="n">
        <v>-40366</v>
      </c>
      <c r="G93" s="2" t="inlineStr">
        <is>
          <t>FY25 TB.csv</t>
        </is>
      </c>
      <c r="H93" s="2" t="inlineStr">
        <is>
          <t>Prior Year</t>
        </is>
      </c>
    </row>
    <row r="94">
      <c r="A94" s="2" t="inlineStr">
        <is>
          <t>4170</t>
        </is>
      </c>
      <c r="B94" s="2" t="inlineStr">
        <is>
          <t>4170</t>
        </is>
      </c>
      <c r="C94" s="2" t="inlineStr">
        <is>
          <t>Returns and Allowances - Sales</t>
        </is>
      </c>
      <c r="D94" s="2" t="inlineStr">
        <is>
          <t>Revenue</t>
        </is>
      </c>
      <c r="E94" s="2" t="inlineStr">
        <is>
          <t>Sales</t>
        </is>
      </c>
      <c r="F94" s="4" t="n">
        <v>-7540</v>
      </c>
      <c r="G94" s="2" t="inlineStr">
        <is>
          <t>FY25 TB.csv</t>
        </is>
      </c>
      <c r="H94" s="2" t="inlineStr">
        <is>
          <t>Prior Year</t>
        </is>
      </c>
    </row>
    <row r="95">
      <c r="A95" s="2" t="inlineStr">
        <is>
          <t>4185</t>
        </is>
      </c>
      <c r="B95" s="2" t="inlineStr">
        <is>
          <t>4185</t>
        </is>
      </c>
      <c r="C95" s="2" t="inlineStr">
        <is>
          <t>Service Revenue - Sales</t>
        </is>
      </c>
      <c r="D95" s="2" t="inlineStr">
        <is>
          <t>Revenue</t>
        </is>
      </c>
      <c r="E95" s="2" t="inlineStr">
        <is>
          <t>Sales</t>
        </is>
      </c>
      <c r="F95" s="4" t="n">
        <v>-79660</v>
      </c>
      <c r="G95" s="2" t="inlineStr">
        <is>
          <t>FY25 TB.csv</t>
        </is>
      </c>
      <c r="H95" s="2" t="inlineStr">
        <is>
          <t>Prior Year</t>
        </is>
      </c>
    </row>
    <row r="96">
      <c r="A96" s="2" t="inlineStr">
        <is>
          <t>4191</t>
        </is>
      </c>
      <c r="B96" s="2" t="inlineStr">
        <is>
          <t>4191</t>
        </is>
      </c>
      <c r="C96" s="2" t="inlineStr">
        <is>
          <t>Service Revenue - Corporate</t>
        </is>
      </c>
      <c r="D96" s="2" t="inlineStr">
        <is>
          <t>Revenue</t>
        </is>
      </c>
      <c r="E96" s="2" t="inlineStr">
        <is>
          <t>Corporate</t>
        </is>
      </c>
      <c r="F96" s="4" t="n">
        <v>-9753</v>
      </c>
      <c r="G96" s="2" t="inlineStr">
        <is>
          <t>FY25 TB.csv</t>
        </is>
      </c>
      <c r="H96" s="2" t="inlineStr">
        <is>
          <t>Prior Year</t>
        </is>
      </c>
    </row>
    <row r="97">
      <c r="A97" s="2" t="inlineStr">
        <is>
          <t>4205</t>
        </is>
      </c>
      <c r="B97" s="2" t="inlineStr">
        <is>
          <t>4205</t>
        </is>
      </c>
      <c r="C97" s="2" t="inlineStr">
        <is>
          <t>Product Revenue - IT</t>
        </is>
      </c>
      <c r="D97" s="2" t="inlineStr">
        <is>
          <t>Revenue</t>
        </is>
      </c>
      <c r="E97" s="2" t="inlineStr">
        <is>
          <t>IT</t>
        </is>
      </c>
      <c r="F97" s="4" t="n">
        <v>-20692</v>
      </c>
      <c r="G97" s="2" t="inlineStr">
        <is>
          <t>FY25 TB.csv</t>
        </is>
      </c>
      <c r="H97" s="2" t="inlineStr">
        <is>
          <t>Prior Year</t>
        </is>
      </c>
    </row>
    <row r="98">
      <c r="A98" s="2" t="inlineStr">
        <is>
          <t>4214</t>
        </is>
      </c>
      <c r="B98" s="2" t="inlineStr">
        <is>
          <t>4214</t>
        </is>
      </c>
      <c r="C98" s="2" t="inlineStr">
        <is>
          <t>Returns and Allowances - Admin</t>
        </is>
      </c>
      <c r="D98" s="2" t="inlineStr">
        <is>
          <t>Revenue</t>
        </is>
      </c>
      <c r="E98" s="2" t="inlineStr">
        <is>
          <t>Admin</t>
        </is>
      </c>
      <c r="F98" s="4" t="n">
        <v>-9047</v>
      </c>
      <c r="G98" s="2" t="inlineStr">
        <is>
          <t>FY25 TB.csv</t>
        </is>
      </c>
      <c r="H98" s="2" t="inlineStr">
        <is>
          <t>Prior Year</t>
        </is>
      </c>
    </row>
    <row r="99">
      <c r="A99" s="2" t="inlineStr">
        <is>
          <t>4225</t>
        </is>
      </c>
      <c r="B99" s="2" t="inlineStr">
        <is>
          <t>4225</t>
        </is>
      </c>
      <c r="C99" s="2" t="inlineStr">
        <is>
          <t>Product Revenue - Ops</t>
        </is>
      </c>
      <c r="D99" s="2" t="inlineStr">
        <is>
          <t>Revenue</t>
        </is>
      </c>
      <c r="E99" s="2" t="inlineStr">
        <is>
          <t>Ops</t>
        </is>
      </c>
      <c r="F99" s="4" t="n">
        <v>-141032</v>
      </c>
      <c r="G99" s="2" t="inlineStr">
        <is>
          <t>FY25 TB.csv</t>
        </is>
      </c>
      <c r="H99" s="2" t="inlineStr">
        <is>
          <t>Prior Year</t>
        </is>
      </c>
    </row>
    <row r="100">
      <c r="A100" s="2" t="inlineStr">
        <is>
          <t>4233</t>
        </is>
      </c>
      <c r="B100" s="2" t="inlineStr">
        <is>
          <t>4233</t>
        </is>
      </c>
      <c r="C100" s="2" t="inlineStr">
        <is>
          <t>Product Revenue - Ops</t>
        </is>
      </c>
      <c r="D100" s="2" t="inlineStr">
        <is>
          <t>Revenue</t>
        </is>
      </c>
      <c r="E100" s="2" t="inlineStr">
        <is>
          <t>Ops</t>
        </is>
      </c>
      <c r="F100" s="4" t="n">
        <v>-38497</v>
      </c>
      <c r="G100" s="2" t="inlineStr">
        <is>
          <t>FY25 TB.csv</t>
        </is>
      </c>
      <c r="H100" s="2" t="inlineStr">
        <is>
          <t>Prior Year</t>
        </is>
      </c>
    </row>
    <row r="101">
      <c r="A101" s="2" t="inlineStr">
        <is>
          <t>4242</t>
        </is>
      </c>
      <c r="B101" s="2" t="inlineStr">
        <is>
          <t>4242</t>
        </is>
      </c>
      <c r="C101" s="2" t="inlineStr">
        <is>
          <t>Product Revenue - IT</t>
        </is>
      </c>
      <c r="D101" s="2" t="inlineStr">
        <is>
          <t>Revenue</t>
        </is>
      </c>
      <c r="E101" s="2" t="inlineStr">
        <is>
          <t>IT</t>
        </is>
      </c>
      <c r="F101" s="4" t="n">
        <v>-28808</v>
      </c>
      <c r="G101" s="2" t="inlineStr">
        <is>
          <t>FY25 TB.csv</t>
        </is>
      </c>
      <c r="H101" s="2" t="inlineStr">
        <is>
          <t>Prior Year</t>
        </is>
      </c>
    </row>
    <row r="102">
      <c r="A102" s="2" t="inlineStr">
        <is>
          <t>4253</t>
        </is>
      </c>
      <c r="B102" s="2" t="inlineStr">
        <is>
          <t>4253</t>
        </is>
      </c>
      <c r="C102" s="2" t="inlineStr">
        <is>
          <t>Returns and Allowances - Corporate</t>
        </is>
      </c>
      <c r="D102" s="2" t="inlineStr">
        <is>
          <t>Revenue</t>
        </is>
      </c>
      <c r="E102" s="2" t="inlineStr">
        <is>
          <t>Corporate</t>
        </is>
      </c>
      <c r="F102" s="4" t="n">
        <v>-120050</v>
      </c>
      <c r="G102" s="2" t="inlineStr">
        <is>
          <t>FY25 TB.csv</t>
        </is>
      </c>
      <c r="H102" s="2" t="inlineStr">
        <is>
          <t>Prior Year</t>
        </is>
      </c>
    </row>
    <row r="103">
      <c r="A103" s="2" t="inlineStr">
        <is>
          <t>4263</t>
        </is>
      </c>
      <c r="B103" s="2" t="inlineStr">
        <is>
          <t>4263</t>
        </is>
      </c>
      <c r="C103" s="2" t="inlineStr">
        <is>
          <t>Discounts - Admin</t>
        </is>
      </c>
      <c r="D103" s="2" t="inlineStr">
        <is>
          <t>Revenue</t>
        </is>
      </c>
      <c r="E103" s="2" t="inlineStr">
        <is>
          <t>Admin</t>
        </is>
      </c>
      <c r="F103" s="4" t="n">
        <v>-33895</v>
      </c>
      <c r="G103" s="2" t="inlineStr">
        <is>
          <t>FY25 TB.csv</t>
        </is>
      </c>
      <c r="H103" s="2" t="inlineStr">
        <is>
          <t>Prior Year</t>
        </is>
      </c>
    </row>
    <row r="104">
      <c r="A104" s="2" t="inlineStr">
        <is>
          <t>4273</t>
        </is>
      </c>
      <c r="B104" s="2" t="inlineStr">
        <is>
          <t>4273</t>
        </is>
      </c>
      <c r="C104" s="2" t="inlineStr">
        <is>
          <t>Returns and Allowances - Corporate</t>
        </is>
      </c>
      <c r="D104" s="2" t="inlineStr">
        <is>
          <t>Revenue</t>
        </is>
      </c>
      <c r="E104" s="2" t="inlineStr">
        <is>
          <t>Corporate</t>
        </is>
      </c>
      <c r="F104" s="4" t="n">
        <v>-63578</v>
      </c>
      <c r="G104" s="2" t="inlineStr">
        <is>
          <t>FY25 TB.csv</t>
        </is>
      </c>
      <c r="H104" s="2" t="inlineStr">
        <is>
          <t>Prior Year</t>
        </is>
      </c>
    </row>
    <row r="105">
      <c r="A105" s="2" t="inlineStr">
        <is>
          <t>4283</t>
        </is>
      </c>
      <c r="B105" s="2" t="inlineStr">
        <is>
          <t>4283</t>
        </is>
      </c>
      <c r="C105" s="2" t="inlineStr">
        <is>
          <t>Returns and Allowances - Corporate</t>
        </is>
      </c>
      <c r="D105" s="2" t="inlineStr">
        <is>
          <t>Revenue</t>
        </is>
      </c>
      <c r="E105" s="2" t="inlineStr">
        <is>
          <t>Corporate</t>
        </is>
      </c>
      <c r="F105" s="4" t="n">
        <v>-46422</v>
      </c>
      <c r="G105" s="2" t="inlineStr">
        <is>
          <t>FY25 TB.csv</t>
        </is>
      </c>
      <c r="H105" s="2" t="inlineStr">
        <is>
          <t>Prior Year</t>
        </is>
      </c>
    </row>
    <row r="106">
      <c r="A106" s="2" t="inlineStr">
        <is>
          <t>4290</t>
        </is>
      </c>
      <c r="B106" s="2" t="inlineStr">
        <is>
          <t>4290</t>
        </is>
      </c>
      <c r="C106" s="2" t="inlineStr">
        <is>
          <t>Other Income - IT</t>
        </is>
      </c>
      <c r="D106" s="2" t="inlineStr">
        <is>
          <t>Revenue</t>
        </is>
      </c>
      <c r="E106" s="2" t="inlineStr">
        <is>
          <t>IT</t>
        </is>
      </c>
      <c r="F106" s="4" t="n">
        <v>-48997</v>
      </c>
      <c r="G106" s="2" t="inlineStr">
        <is>
          <t>FY25 TB.csv</t>
        </is>
      </c>
      <c r="H106" s="2" t="inlineStr">
        <is>
          <t>Prior Year</t>
        </is>
      </c>
    </row>
    <row r="107">
      <c r="A107" s="2" t="inlineStr">
        <is>
          <t>4303</t>
        </is>
      </c>
      <c r="B107" s="2" t="inlineStr">
        <is>
          <t>4303</t>
        </is>
      </c>
      <c r="C107" s="2" t="inlineStr">
        <is>
          <t>Discounts - IT</t>
        </is>
      </c>
      <c r="D107" s="2" t="inlineStr">
        <is>
          <t>Revenue</t>
        </is>
      </c>
      <c r="E107" s="2" t="inlineStr">
        <is>
          <t>IT</t>
        </is>
      </c>
      <c r="F107" s="4" t="n">
        <v>-41885</v>
      </c>
      <c r="G107" s="2" t="inlineStr">
        <is>
          <t>FY25 TB.csv</t>
        </is>
      </c>
      <c r="H107" s="2" t="inlineStr">
        <is>
          <t>Prior Year</t>
        </is>
      </c>
    </row>
    <row r="108">
      <c r="A108" s="2" t="inlineStr">
        <is>
          <t>4312</t>
        </is>
      </c>
      <c r="B108" s="2" t="inlineStr">
        <is>
          <t>4312</t>
        </is>
      </c>
      <c r="C108" s="2" t="inlineStr">
        <is>
          <t>Service Revenue - Admin</t>
        </is>
      </c>
      <c r="D108" s="2" t="inlineStr">
        <is>
          <t>Revenue</t>
        </is>
      </c>
      <c r="E108" s="2" t="inlineStr">
        <is>
          <t>Admin</t>
        </is>
      </c>
      <c r="F108" s="4" t="n">
        <v>-9956</v>
      </c>
      <c r="G108" s="2" t="inlineStr">
        <is>
          <t>FY25 TB.csv</t>
        </is>
      </c>
      <c r="H108" s="2" t="inlineStr">
        <is>
          <t>Prior Year</t>
        </is>
      </c>
    </row>
    <row r="109">
      <c r="A109" s="2" t="inlineStr">
        <is>
          <t>4323</t>
        </is>
      </c>
      <c r="B109" s="2" t="inlineStr">
        <is>
          <t>4323</t>
        </is>
      </c>
      <c r="C109" s="2" t="inlineStr">
        <is>
          <t>Other Income - Corporate</t>
        </is>
      </c>
      <c r="D109" s="2" t="inlineStr">
        <is>
          <t>Revenue</t>
        </is>
      </c>
      <c r="E109" s="2" t="inlineStr">
        <is>
          <t>Corporate</t>
        </is>
      </c>
      <c r="F109" s="4" t="n">
        <v>-112667</v>
      </c>
      <c r="G109" s="2" t="inlineStr">
        <is>
          <t>FY25 TB.csv</t>
        </is>
      </c>
      <c r="H109" s="2" t="inlineStr">
        <is>
          <t>Prior Year</t>
        </is>
      </c>
    </row>
    <row r="110">
      <c r="A110" s="2" t="inlineStr">
        <is>
          <t>4333</t>
        </is>
      </c>
      <c r="B110" s="2" t="inlineStr">
        <is>
          <t>4333</t>
        </is>
      </c>
      <c r="C110" s="2" t="inlineStr">
        <is>
          <t>Other Income - IT</t>
        </is>
      </c>
      <c r="D110" s="2" t="inlineStr">
        <is>
          <t>Revenue</t>
        </is>
      </c>
      <c r="E110" s="2" t="inlineStr">
        <is>
          <t>IT</t>
        </is>
      </c>
      <c r="F110" s="4" t="n">
        <v>-9006</v>
      </c>
      <c r="G110" s="2" t="inlineStr">
        <is>
          <t>FY25 TB.csv</t>
        </is>
      </c>
      <c r="H110" s="2" t="inlineStr">
        <is>
          <t>Prior Year</t>
        </is>
      </c>
    </row>
    <row r="111">
      <c r="A111" s="2" t="inlineStr">
        <is>
          <t>4343</t>
        </is>
      </c>
      <c r="B111" s="2" t="inlineStr">
        <is>
          <t>4343</t>
        </is>
      </c>
      <c r="C111" s="2" t="inlineStr">
        <is>
          <t>Returns and Allowances - Corporate</t>
        </is>
      </c>
      <c r="D111" s="2" t="inlineStr">
        <is>
          <t>Revenue</t>
        </is>
      </c>
      <c r="E111" s="2" t="inlineStr">
        <is>
          <t>Corporate</t>
        </is>
      </c>
      <c r="F111" s="4" t="n">
        <v>-20310</v>
      </c>
      <c r="G111" s="2" t="inlineStr">
        <is>
          <t>FY25 TB.csv</t>
        </is>
      </c>
      <c r="H111" s="2" t="inlineStr">
        <is>
          <t>Prior Year</t>
        </is>
      </c>
    </row>
    <row r="112">
      <c r="A112" s="2" t="inlineStr">
        <is>
          <t>4352</t>
        </is>
      </c>
      <c r="B112" s="2" t="inlineStr">
        <is>
          <t>4352</t>
        </is>
      </c>
      <c r="C112" s="2" t="inlineStr">
        <is>
          <t>Other Income - Warehouse</t>
        </is>
      </c>
      <c r="D112" s="2" t="inlineStr">
        <is>
          <t>Revenue</t>
        </is>
      </c>
      <c r="E112" s="2" t="inlineStr">
        <is>
          <t>Warehouse</t>
        </is>
      </c>
      <c r="F112" s="4" t="n">
        <v>-29260</v>
      </c>
      <c r="G112" s="2" t="inlineStr">
        <is>
          <t>FY25 TB.csv</t>
        </is>
      </c>
      <c r="H112" s="2" t="inlineStr">
        <is>
          <t>Prior Year</t>
        </is>
      </c>
    </row>
    <row r="113">
      <c r="A113" s="2" t="inlineStr">
        <is>
          <t>4361</t>
        </is>
      </c>
      <c r="B113" s="2" t="inlineStr">
        <is>
          <t>4361</t>
        </is>
      </c>
      <c r="C113" s="2" t="inlineStr">
        <is>
          <t>Returns and Allowances - Corporate</t>
        </is>
      </c>
      <c r="D113" s="2" t="inlineStr">
        <is>
          <t>Revenue</t>
        </is>
      </c>
      <c r="E113" s="2" t="inlineStr">
        <is>
          <t>Corporate</t>
        </is>
      </c>
      <c r="F113" s="4" t="n">
        <v>-12457</v>
      </c>
      <c r="G113" s="2" t="inlineStr">
        <is>
          <t>FY25 TB.csv</t>
        </is>
      </c>
      <c r="H113" s="2" t="inlineStr">
        <is>
          <t>Prior Year</t>
        </is>
      </c>
    </row>
    <row r="114">
      <c r="A114" s="2" t="inlineStr">
        <is>
          <t>4374</t>
        </is>
      </c>
      <c r="B114" s="2" t="inlineStr">
        <is>
          <t>4374</t>
        </is>
      </c>
      <c r="C114" s="2" t="inlineStr">
        <is>
          <t>Discounts - Corporate</t>
        </is>
      </c>
      <c r="D114" s="2" t="inlineStr">
        <is>
          <t>Revenue</t>
        </is>
      </c>
      <c r="E114" s="2" t="inlineStr">
        <is>
          <t>Corporate</t>
        </is>
      </c>
      <c r="F114" s="4" t="n">
        <v>-26870</v>
      </c>
      <c r="G114" s="2" t="inlineStr">
        <is>
          <t>FY25 TB.csv</t>
        </is>
      </c>
      <c r="H114" s="2" t="inlineStr">
        <is>
          <t>Prior Year</t>
        </is>
      </c>
    </row>
    <row r="115">
      <c r="A115" s="2" t="inlineStr">
        <is>
          <t>4384</t>
        </is>
      </c>
      <c r="B115" s="2" t="inlineStr">
        <is>
          <t>4384</t>
        </is>
      </c>
      <c r="C115" s="2" t="inlineStr">
        <is>
          <t>Other Income - Admin</t>
        </is>
      </c>
      <c r="D115" s="2" t="inlineStr">
        <is>
          <t>Revenue</t>
        </is>
      </c>
      <c r="E115" s="2" t="inlineStr">
        <is>
          <t>Admin</t>
        </is>
      </c>
      <c r="F115" s="4" t="n">
        <v>-76719</v>
      </c>
      <c r="G115" s="2" t="inlineStr">
        <is>
          <t>FY25 TB.csv</t>
        </is>
      </c>
      <c r="H115" s="2" t="inlineStr">
        <is>
          <t>Prior Year</t>
        </is>
      </c>
    </row>
    <row r="116">
      <c r="A116" s="2" t="inlineStr">
        <is>
          <t>4391</t>
        </is>
      </c>
      <c r="B116" s="2" t="inlineStr">
        <is>
          <t>4391</t>
        </is>
      </c>
      <c r="C116" s="2" t="inlineStr">
        <is>
          <t>Product Revenue - IT</t>
        </is>
      </c>
      <c r="D116" s="2" t="inlineStr">
        <is>
          <t>Revenue</t>
        </is>
      </c>
      <c r="E116" s="2" t="inlineStr">
        <is>
          <t>IT</t>
        </is>
      </c>
      <c r="F116" s="4" t="n">
        <v>-20598</v>
      </c>
      <c r="G116" s="2" t="inlineStr">
        <is>
          <t>FY25 TB.csv</t>
        </is>
      </c>
      <c r="H116" s="2" t="inlineStr">
        <is>
          <t>Prior Year</t>
        </is>
      </c>
    </row>
    <row r="117">
      <c r="A117" s="2" t="inlineStr">
        <is>
          <t>4401</t>
        </is>
      </c>
      <c r="B117" s="2" t="inlineStr">
        <is>
          <t>4401</t>
        </is>
      </c>
      <c r="C117" s="2" t="inlineStr">
        <is>
          <t>Other Income - Corporate</t>
        </is>
      </c>
      <c r="D117" s="2" t="inlineStr">
        <is>
          <t>Revenue</t>
        </is>
      </c>
      <c r="E117" s="2" t="inlineStr">
        <is>
          <t>Corporate</t>
        </is>
      </c>
      <c r="F117" s="4" t="n">
        <v>-193474</v>
      </c>
      <c r="G117" s="2" t="inlineStr">
        <is>
          <t>FY25 TB.csv</t>
        </is>
      </c>
      <c r="H117" s="2" t="inlineStr">
        <is>
          <t>Prior Year</t>
        </is>
      </c>
    </row>
    <row r="118">
      <c r="A118" s="2" t="inlineStr">
        <is>
          <t>4412</t>
        </is>
      </c>
      <c r="B118" s="2" t="inlineStr">
        <is>
          <t>4412</t>
        </is>
      </c>
      <c r="C118" s="2" t="inlineStr">
        <is>
          <t>Discounts - IT</t>
        </is>
      </c>
      <c r="D118" s="2" t="inlineStr">
        <is>
          <t>Revenue</t>
        </is>
      </c>
      <c r="E118" s="2" t="inlineStr">
        <is>
          <t>IT</t>
        </is>
      </c>
      <c r="F118" s="4" t="n">
        <v>-616181</v>
      </c>
      <c r="G118" s="2" t="inlineStr">
        <is>
          <t>FY25 TB.csv</t>
        </is>
      </c>
      <c r="H118" s="2" t="inlineStr">
        <is>
          <t>Prior Year</t>
        </is>
      </c>
    </row>
    <row r="119">
      <c r="A119" s="2" t="inlineStr">
        <is>
          <t>4420</t>
        </is>
      </c>
      <c r="B119" s="2" t="inlineStr">
        <is>
          <t>4420</t>
        </is>
      </c>
      <c r="C119" s="2" t="inlineStr">
        <is>
          <t>Other Income - Ops</t>
        </is>
      </c>
      <c r="D119" s="2" t="inlineStr">
        <is>
          <t>Revenue</t>
        </is>
      </c>
      <c r="E119" s="2" t="inlineStr">
        <is>
          <t>Ops</t>
        </is>
      </c>
      <c r="F119" s="4" t="n">
        <v>-31171</v>
      </c>
      <c r="G119" s="2" t="inlineStr">
        <is>
          <t>FY25 TB.csv</t>
        </is>
      </c>
      <c r="H119" s="2" t="inlineStr">
        <is>
          <t>Prior Year</t>
        </is>
      </c>
    </row>
    <row r="120">
      <c r="A120" s="2" t="inlineStr">
        <is>
          <t>4432</t>
        </is>
      </c>
      <c r="B120" s="2" t="inlineStr">
        <is>
          <t>4432</t>
        </is>
      </c>
      <c r="C120" s="2" t="inlineStr">
        <is>
          <t>Returns and Allowances - Corporate</t>
        </is>
      </c>
      <c r="D120" s="2" t="inlineStr">
        <is>
          <t>Revenue</t>
        </is>
      </c>
      <c r="E120" s="2" t="inlineStr">
        <is>
          <t>Corporate</t>
        </is>
      </c>
      <c r="F120" s="4" t="n">
        <v>-32660</v>
      </c>
      <c r="G120" s="2" t="inlineStr">
        <is>
          <t>FY25 TB.csv</t>
        </is>
      </c>
      <c r="H120" s="2" t="inlineStr">
        <is>
          <t>Prior Year</t>
        </is>
      </c>
    </row>
    <row r="121">
      <c r="A121" s="2" t="inlineStr">
        <is>
          <t>4442</t>
        </is>
      </c>
      <c r="B121" s="2" t="inlineStr">
        <is>
          <t>4442</t>
        </is>
      </c>
      <c r="C121" s="2" t="inlineStr">
        <is>
          <t>Discounts - Warehouse</t>
        </is>
      </c>
      <c r="D121" s="2" t="inlineStr">
        <is>
          <t>Revenue</t>
        </is>
      </c>
      <c r="E121" s="2" t="inlineStr">
        <is>
          <t>Warehouse</t>
        </is>
      </c>
      <c r="F121" s="4" t="n">
        <v>-14894</v>
      </c>
      <c r="G121" s="2" t="inlineStr">
        <is>
          <t>FY25 TB.csv</t>
        </is>
      </c>
      <c r="H121" s="2" t="inlineStr">
        <is>
          <t>Prior Year</t>
        </is>
      </c>
    </row>
    <row r="122">
      <c r="A122" s="2" t="inlineStr">
        <is>
          <t>5005</t>
        </is>
      </c>
      <c r="B122" s="2" t="inlineStr">
        <is>
          <t>5005</t>
        </is>
      </c>
      <c r="C122" s="2" t="inlineStr">
        <is>
          <t>Materials - Warehouse</t>
        </is>
      </c>
      <c r="D122" s="2" t="inlineStr">
        <is>
          <t>COGS</t>
        </is>
      </c>
      <c r="E122" s="2" t="inlineStr">
        <is>
          <t>Warehouse</t>
        </is>
      </c>
      <c r="F122" s="4" t="n">
        <v>34249</v>
      </c>
      <c r="G122" s="2" t="inlineStr">
        <is>
          <t>FY25 TB.csv</t>
        </is>
      </c>
      <c r="H122" s="2" t="inlineStr">
        <is>
          <t>Prior Year</t>
        </is>
      </c>
    </row>
    <row r="123">
      <c r="A123" s="2" t="inlineStr">
        <is>
          <t>5015</t>
        </is>
      </c>
      <c r="B123" s="2" t="inlineStr">
        <is>
          <t>5015</t>
        </is>
      </c>
      <c r="C123" s="2" t="inlineStr">
        <is>
          <t>Freight In - Ops</t>
        </is>
      </c>
      <c r="D123" s="2" t="inlineStr">
        <is>
          <t>COGS</t>
        </is>
      </c>
      <c r="E123" s="2" t="inlineStr">
        <is>
          <t>Ops</t>
        </is>
      </c>
      <c r="F123" s="4" t="n">
        <v>17865</v>
      </c>
      <c r="G123" s="2" t="inlineStr">
        <is>
          <t>FY25 TB.csv</t>
        </is>
      </c>
      <c r="H123" s="2" t="inlineStr">
        <is>
          <t>Prior Year</t>
        </is>
      </c>
    </row>
    <row r="124">
      <c r="A124" s="2" t="inlineStr">
        <is>
          <t>5020</t>
        </is>
      </c>
      <c r="B124" s="2" t="inlineStr">
        <is>
          <t>5020</t>
        </is>
      </c>
      <c r="C124" s="2" t="inlineStr">
        <is>
          <t>Labor - Corporate</t>
        </is>
      </c>
      <c r="D124" s="2" t="inlineStr">
        <is>
          <t>COGS</t>
        </is>
      </c>
      <c r="E124" s="2" t="inlineStr">
        <is>
          <t>Corporate</t>
        </is>
      </c>
      <c r="F124" s="4" t="n">
        <v>256999</v>
      </c>
      <c r="G124" s="2" t="inlineStr">
        <is>
          <t>FY25 TB.csv</t>
        </is>
      </c>
      <c r="H124" s="2" t="inlineStr">
        <is>
          <t>Prior Year</t>
        </is>
      </c>
    </row>
    <row r="125">
      <c r="A125" s="2" t="inlineStr">
        <is>
          <t>5031</t>
        </is>
      </c>
      <c r="B125" s="2" t="inlineStr">
        <is>
          <t>5031</t>
        </is>
      </c>
      <c r="C125" s="2" t="inlineStr">
        <is>
          <t>Freight In - Corporate</t>
        </is>
      </c>
      <c r="D125" s="2" t="inlineStr">
        <is>
          <t>COGS</t>
        </is>
      </c>
      <c r="E125" s="2" t="inlineStr">
        <is>
          <t>Corporate</t>
        </is>
      </c>
      <c r="F125" s="4" t="n">
        <v>13393</v>
      </c>
      <c r="G125" s="2" t="inlineStr">
        <is>
          <t>FY25 TB.csv</t>
        </is>
      </c>
      <c r="H125" s="2" t="inlineStr">
        <is>
          <t>Prior Year</t>
        </is>
      </c>
    </row>
    <row r="126">
      <c r="A126" s="2" t="inlineStr">
        <is>
          <t>5042</t>
        </is>
      </c>
      <c r="B126" s="2" t="inlineStr">
        <is>
          <t>5042</t>
        </is>
      </c>
      <c r="C126" s="2" t="inlineStr">
        <is>
          <t>Labor - Warehouse</t>
        </is>
      </c>
      <c r="D126" s="2" t="inlineStr">
        <is>
          <t>COGS</t>
        </is>
      </c>
      <c r="E126" s="2" t="inlineStr">
        <is>
          <t>Warehouse</t>
        </is>
      </c>
      <c r="F126" s="4" t="n">
        <v>66956</v>
      </c>
      <c r="G126" s="2" t="inlineStr">
        <is>
          <t>FY25 TB.csv</t>
        </is>
      </c>
      <c r="H126" s="2" t="inlineStr">
        <is>
          <t>Prior Year</t>
        </is>
      </c>
    </row>
    <row r="127">
      <c r="A127" s="2" t="inlineStr">
        <is>
          <t>5055</t>
        </is>
      </c>
      <c r="B127" s="2" t="inlineStr">
        <is>
          <t>5055</t>
        </is>
      </c>
      <c r="C127" s="2" t="inlineStr">
        <is>
          <t>Inventory Adjustments - Sales</t>
        </is>
      </c>
      <c r="D127" s="2" t="inlineStr">
        <is>
          <t>COGS</t>
        </is>
      </c>
      <c r="E127" s="2" t="inlineStr">
        <is>
          <t>Sales</t>
        </is>
      </c>
      <c r="F127" s="4" t="n">
        <v>34243</v>
      </c>
      <c r="G127" s="2" t="inlineStr">
        <is>
          <t>FY25 TB.csv</t>
        </is>
      </c>
      <c r="H127" s="2" t="inlineStr">
        <is>
          <t>Prior Year</t>
        </is>
      </c>
    </row>
    <row r="128">
      <c r="A128" s="2" t="inlineStr">
        <is>
          <t>5062</t>
        </is>
      </c>
      <c r="B128" s="2" t="inlineStr">
        <is>
          <t>5062</t>
        </is>
      </c>
      <c r="C128" s="2" t="inlineStr">
        <is>
          <t>Inventory Adjustments - Warehouse</t>
        </is>
      </c>
      <c r="D128" s="2" t="inlineStr">
        <is>
          <t>COGS</t>
        </is>
      </c>
      <c r="E128" s="2" t="inlineStr">
        <is>
          <t>Warehouse</t>
        </is>
      </c>
      <c r="F128" s="4" t="n">
        <v>11374</v>
      </c>
      <c r="G128" s="2" t="inlineStr">
        <is>
          <t>FY25 TB.csv</t>
        </is>
      </c>
      <c r="H128" s="2" t="inlineStr">
        <is>
          <t>Prior Year</t>
        </is>
      </c>
    </row>
    <row r="129">
      <c r="A129" s="2" t="inlineStr">
        <is>
          <t>5075</t>
        </is>
      </c>
      <c r="B129" s="2" t="inlineStr">
        <is>
          <t>5075</t>
        </is>
      </c>
      <c r="C129" s="2" t="inlineStr">
        <is>
          <t>Freight In - Corporate</t>
        </is>
      </c>
      <c r="D129" s="2" t="inlineStr">
        <is>
          <t>COGS</t>
        </is>
      </c>
      <c r="E129" s="2" t="inlineStr">
        <is>
          <t>Corporate</t>
        </is>
      </c>
      <c r="F129" s="4" t="n">
        <v>73989</v>
      </c>
      <c r="G129" s="2" t="inlineStr">
        <is>
          <t>FY25 TB.csv</t>
        </is>
      </c>
      <c r="H129" s="2" t="inlineStr">
        <is>
          <t>Prior Year</t>
        </is>
      </c>
    </row>
    <row r="130">
      <c r="A130" s="2" t="inlineStr">
        <is>
          <t>5084</t>
        </is>
      </c>
      <c r="B130" s="2" t="inlineStr">
        <is>
          <t>5084</t>
        </is>
      </c>
      <c r="C130" s="2" t="inlineStr">
        <is>
          <t>Materials - Warehouse</t>
        </is>
      </c>
      <c r="D130" s="2" t="inlineStr">
        <is>
          <t>COGS</t>
        </is>
      </c>
      <c r="E130" s="2" t="inlineStr">
        <is>
          <t>Warehouse</t>
        </is>
      </c>
      <c r="F130" s="4" t="n">
        <v>17039</v>
      </c>
      <c r="G130" s="2" t="inlineStr">
        <is>
          <t>FY25 TB.csv</t>
        </is>
      </c>
      <c r="H130" s="2" t="inlineStr">
        <is>
          <t>Prior Year</t>
        </is>
      </c>
    </row>
    <row r="131">
      <c r="A131" s="2" t="inlineStr">
        <is>
          <t>5092</t>
        </is>
      </c>
      <c r="B131" s="2" t="inlineStr">
        <is>
          <t>5092</t>
        </is>
      </c>
      <c r="C131" s="2" t="inlineStr">
        <is>
          <t>Inventory Adjustments - Corporate</t>
        </is>
      </c>
      <c r="D131" s="2" t="inlineStr">
        <is>
          <t>COGS</t>
        </is>
      </c>
      <c r="E131" s="2" t="inlineStr">
        <is>
          <t>Corporate</t>
        </is>
      </c>
      <c r="F131" s="4" t="n">
        <v>48525</v>
      </c>
      <c r="G131" s="2" t="inlineStr">
        <is>
          <t>FY25 TB.csv</t>
        </is>
      </c>
      <c r="H131" s="2" t="inlineStr">
        <is>
          <t>Prior Year</t>
        </is>
      </c>
    </row>
    <row r="132">
      <c r="A132" s="2" t="inlineStr">
        <is>
          <t>5102</t>
        </is>
      </c>
      <c r="B132" s="2" t="inlineStr">
        <is>
          <t>5102</t>
        </is>
      </c>
      <c r="C132" s="2" t="inlineStr">
        <is>
          <t>Inventory Adjustments - IT</t>
        </is>
      </c>
      <c r="D132" s="2" t="inlineStr">
        <is>
          <t>COGS</t>
        </is>
      </c>
      <c r="E132" s="2" t="inlineStr">
        <is>
          <t>IT</t>
        </is>
      </c>
      <c r="F132" s="4" t="n">
        <v>113397</v>
      </c>
      <c r="G132" s="2" t="inlineStr">
        <is>
          <t>FY25 TB.csv</t>
        </is>
      </c>
      <c r="H132" s="2" t="inlineStr">
        <is>
          <t>Prior Year</t>
        </is>
      </c>
    </row>
    <row r="133">
      <c r="A133" s="2" t="inlineStr">
        <is>
          <t>5115</t>
        </is>
      </c>
      <c r="B133" s="2" t="inlineStr">
        <is>
          <t>5115</t>
        </is>
      </c>
      <c r="C133" s="2" t="inlineStr">
        <is>
          <t>Labor - IT</t>
        </is>
      </c>
      <c r="D133" s="2" t="inlineStr">
        <is>
          <t>COGS</t>
        </is>
      </c>
      <c r="E133" s="2" t="inlineStr">
        <is>
          <t>IT</t>
        </is>
      </c>
      <c r="F133" s="4" t="n">
        <v>9442</v>
      </c>
      <c r="G133" s="2" t="inlineStr">
        <is>
          <t>FY25 TB.csv</t>
        </is>
      </c>
      <c r="H133" s="2" t="inlineStr">
        <is>
          <t>Prior Year</t>
        </is>
      </c>
    </row>
    <row r="134">
      <c r="A134" s="2" t="inlineStr">
        <is>
          <t>5122</t>
        </is>
      </c>
      <c r="B134" s="2" t="inlineStr">
        <is>
          <t>5122</t>
        </is>
      </c>
      <c r="C134" s="2" t="inlineStr">
        <is>
          <t>Materials - Corporate</t>
        </is>
      </c>
      <c r="D134" s="2" t="inlineStr">
        <is>
          <t>COGS</t>
        </is>
      </c>
      <c r="E134" s="2" t="inlineStr">
        <is>
          <t>Corporate</t>
        </is>
      </c>
      <c r="F134" s="4" t="n">
        <v>15162</v>
      </c>
      <c r="G134" s="2" t="inlineStr">
        <is>
          <t>FY25 TB.csv</t>
        </is>
      </c>
      <c r="H134" s="2" t="inlineStr">
        <is>
          <t>Prior Year</t>
        </is>
      </c>
    </row>
    <row r="135">
      <c r="A135" s="2" t="inlineStr">
        <is>
          <t>5135</t>
        </is>
      </c>
      <c r="B135" s="2" t="inlineStr">
        <is>
          <t>5135</t>
        </is>
      </c>
      <c r="C135" s="2" t="inlineStr">
        <is>
          <t>Freight In - Warehouse</t>
        </is>
      </c>
      <c r="D135" s="2" t="inlineStr">
        <is>
          <t>COGS</t>
        </is>
      </c>
      <c r="E135" s="2" t="inlineStr">
        <is>
          <t>Warehouse</t>
        </is>
      </c>
      <c r="F135" s="4" t="n">
        <v>24274</v>
      </c>
      <c r="G135" s="2" t="inlineStr">
        <is>
          <t>FY25 TB.csv</t>
        </is>
      </c>
      <c r="H135" s="2" t="inlineStr">
        <is>
          <t>Prior Year</t>
        </is>
      </c>
    </row>
    <row r="136">
      <c r="A136" s="2" t="inlineStr">
        <is>
          <t>5145</t>
        </is>
      </c>
      <c r="B136" s="2" t="inlineStr">
        <is>
          <t>5145</t>
        </is>
      </c>
      <c r="C136" s="2" t="inlineStr">
        <is>
          <t>Inventory Adjustments - Admin</t>
        </is>
      </c>
      <c r="D136" s="2" t="inlineStr">
        <is>
          <t>COGS</t>
        </is>
      </c>
      <c r="E136" s="2" t="inlineStr">
        <is>
          <t>Admin</t>
        </is>
      </c>
      <c r="F136" s="4" t="n">
        <v>9228</v>
      </c>
      <c r="G136" s="2" t="inlineStr">
        <is>
          <t>FY25 TB.csv</t>
        </is>
      </c>
      <c r="H136" s="2" t="inlineStr">
        <is>
          <t>Prior Year</t>
        </is>
      </c>
    </row>
    <row r="137">
      <c r="A137" s="2" t="inlineStr">
        <is>
          <t>5151</t>
        </is>
      </c>
      <c r="B137" s="2" t="inlineStr">
        <is>
          <t>5151</t>
        </is>
      </c>
      <c r="C137" s="2" t="inlineStr">
        <is>
          <t>Labor - Warehouse</t>
        </is>
      </c>
      <c r="D137" s="2" t="inlineStr">
        <is>
          <t>COGS</t>
        </is>
      </c>
      <c r="E137" s="2" t="inlineStr">
        <is>
          <t>Warehouse</t>
        </is>
      </c>
      <c r="F137" s="4" t="n">
        <v>73145</v>
      </c>
      <c r="G137" s="2" t="inlineStr">
        <is>
          <t>FY25 TB.csv</t>
        </is>
      </c>
      <c r="H137" s="2" t="inlineStr">
        <is>
          <t>Prior Year</t>
        </is>
      </c>
    </row>
    <row r="138">
      <c r="A138" s="2" t="inlineStr">
        <is>
          <t>5161</t>
        </is>
      </c>
      <c r="B138" s="2" t="inlineStr">
        <is>
          <t>5161</t>
        </is>
      </c>
      <c r="C138" s="2" t="inlineStr">
        <is>
          <t>Materials - Sales</t>
        </is>
      </c>
      <c r="D138" s="2" t="inlineStr">
        <is>
          <t>COGS</t>
        </is>
      </c>
      <c r="E138" s="2" t="inlineStr">
        <is>
          <t>Sales</t>
        </is>
      </c>
      <c r="F138" s="4" t="n">
        <v>64560</v>
      </c>
      <c r="G138" s="2" t="inlineStr">
        <is>
          <t>FY25 TB.csv</t>
        </is>
      </c>
      <c r="H138" s="2" t="inlineStr">
        <is>
          <t>Prior Year</t>
        </is>
      </c>
    </row>
    <row r="139">
      <c r="A139" s="2" t="inlineStr">
        <is>
          <t>5174</t>
        </is>
      </c>
      <c r="B139" s="2" t="inlineStr">
        <is>
          <t>5174</t>
        </is>
      </c>
      <c r="C139" s="2" t="inlineStr">
        <is>
          <t>Freight In - Ops</t>
        </is>
      </c>
      <c r="D139" s="2" t="inlineStr">
        <is>
          <t>COGS</t>
        </is>
      </c>
      <c r="E139" s="2" t="inlineStr">
        <is>
          <t>Ops</t>
        </is>
      </c>
      <c r="F139" s="4" t="n">
        <v>25182</v>
      </c>
      <c r="G139" s="2" t="inlineStr">
        <is>
          <t>FY25 TB.csv</t>
        </is>
      </c>
      <c r="H139" s="2" t="inlineStr">
        <is>
          <t>Prior Year</t>
        </is>
      </c>
    </row>
    <row r="140">
      <c r="A140" s="2" t="inlineStr">
        <is>
          <t>5182</t>
        </is>
      </c>
      <c r="B140" s="2" t="inlineStr">
        <is>
          <t>5182</t>
        </is>
      </c>
      <c r="C140" s="2" t="inlineStr">
        <is>
          <t>Inventory Adjustments - IT</t>
        </is>
      </c>
      <c r="D140" s="2" t="inlineStr">
        <is>
          <t>COGS</t>
        </is>
      </c>
      <c r="E140" s="2" t="inlineStr">
        <is>
          <t>IT</t>
        </is>
      </c>
      <c r="F140" s="4" t="n">
        <v>37253</v>
      </c>
      <c r="G140" s="2" t="inlineStr">
        <is>
          <t>FY25 TB.csv</t>
        </is>
      </c>
      <c r="H140" s="2" t="inlineStr">
        <is>
          <t>Prior Year</t>
        </is>
      </c>
    </row>
    <row r="141">
      <c r="A141" s="2" t="inlineStr">
        <is>
          <t>5195</t>
        </is>
      </c>
      <c r="B141" s="2" t="inlineStr">
        <is>
          <t>5195</t>
        </is>
      </c>
      <c r="C141" s="2" t="inlineStr">
        <is>
          <t>Materials - Corporate</t>
        </is>
      </c>
      <c r="D141" s="2" t="inlineStr">
        <is>
          <t>COGS</t>
        </is>
      </c>
      <c r="E141" s="2" t="inlineStr">
        <is>
          <t>Corporate</t>
        </is>
      </c>
      <c r="F141" s="4" t="n">
        <v>38867</v>
      </c>
      <c r="G141" s="2" t="inlineStr">
        <is>
          <t>FY25 TB.csv</t>
        </is>
      </c>
      <c r="H141" s="2" t="inlineStr">
        <is>
          <t>Prior Year</t>
        </is>
      </c>
    </row>
    <row r="142">
      <c r="A142" s="2" t="inlineStr">
        <is>
          <t>5205</t>
        </is>
      </c>
      <c r="B142" s="2" t="inlineStr">
        <is>
          <t>5205</t>
        </is>
      </c>
      <c r="C142" s="2" t="inlineStr">
        <is>
          <t>Materials - IT</t>
        </is>
      </c>
      <c r="D142" s="2" t="inlineStr">
        <is>
          <t>COGS</t>
        </is>
      </c>
      <c r="E142" s="2" t="inlineStr">
        <is>
          <t>IT</t>
        </is>
      </c>
      <c r="F142" s="4" t="n">
        <v>5791</v>
      </c>
      <c r="G142" s="2" t="inlineStr">
        <is>
          <t>FY25 TB.csv</t>
        </is>
      </c>
      <c r="H142" s="2" t="inlineStr">
        <is>
          <t>Prior Year</t>
        </is>
      </c>
    </row>
    <row r="143">
      <c r="A143" s="2" t="inlineStr">
        <is>
          <t>5214</t>
        </is>
      </c>
      <c r="B143" s="2" t="inlineStr">
        <is>
          <t>5214</t>
        </is>
      </c>
      <c r="C143" s="2" t="inlineStr">
        <is>
          <t>Freight In - IT</t>
        </is>
      </c>
      <c r="D143" s="2" t="inlineStr">
        <is>
          <t>COGS</t>
        </is>
      </c>
      <c r="E143" s="2" t="inlineStr">
        <is>
          <t>IT</t>
        </is>
      </c>
      <c r="F143" s="4" t="n">
        <v>39973</v>
      </c>
      <c r="G143" s="2" t="inlineStr">
        <is>
          <t>FY25 TB.csv</t>
        </is>
      </c>
      <c r="H143" s="2" t="inlineStr">
        <is>
          <t>Prior Year</t>
        </is>
      </c>
    </row>
    <row r="144">
      <c r="A144" s="2" t="inlineStr">
        <is>
          <t>5225</t>
        </is>
      </c>
      <c r="B144" s="2" t="inlineStr">
        <is>
          <t>5225</t>
        </is>
      </c>
      <c r="C144" s="2" t="inlineStr">
        <is>
          <t>Materials - Corporate</t>
        </is>
      </c>
      <c r="D144" s="2" t="inlineStr">
        <is>
          <t>COGS</t>
        </is>
      </c>
      <c r="E144" s="2" t="inlineStr">
        <is>
          <t>Corporate</t>
        </is>
      </c>
      <c r="F144" s="4" t="n">
        <v>153923</v>
      </c>
      <c r="G144" s="2" t="inlineStr">
        <is>
          <t>FY25 TB.csv</t>
        </is>
      </c>
      <c r="H144" s="2" t="inlineStr">
        <is>
          <t>Prior Year</t>
        </is>
      </c>
    </row>
    <row r="145">
      <c r="A145" s="2" t="inlineStr">
        <is>
          <t>5232</t>
        </is>
      </c>
      <c r="B145" s="2" t="inlineStr">
        <is>
          <t>5232</t>
        </is>
      </c>
      <c r="C145" s="2" t="inlineStr">
        <is>
          <t>Labor - IT</t>
        </is>
      </c>
      <c r="D145" s="2" t="inlineStr">
        <is>
          <t>COGS</t>
        </is>
      </c>
      <c r="E145" s="2" t="inlineStr">
        <is>
          <t>IT</t>
        </is>
      </c>
      <c r="F145" s="4" t="n">
        <v>92428</v>
      </c>
      <c r="G145" s="2" t="inlineStr">
        <is>
          <t>FY25 TB.csv</t>
        </is>
      </c>
      <c r="H145" s="2" t="inlineStr">
        <is>
          <t>Prior Year</t>
        </is>
      </c>
    </row>
    <row r="146">
      <c r="A146" s="2" t="inlineStr">
        <is>
          <t>5242</t>
        </is>
      </c>
      <c r="B146" s="2" t="inlineStr">
        <is>
          <t>5242</t>
        </is>
      </c>
      <c r="C146" s="2" t="inlineStr">
        <is>
          <t>Freight In - Corporate</t>
        </is>
      </c>
      <c r="D146" s="2" t="inlineStr">
        <is>
          <t>COGS</t>
        </is>
      </c>
      <c r="E146" s="2" t="inlineStr">
        <is>
          <t>Corporate</t>
        </is>
      </c>
      <c r="F146" s="4" t="n">
        <v>28156</v>
      </c>
      <c r="G146" s="2" t="inlineStr">
        <is>
          <t>FY25 TB.csv</t>
        </is>
      </c>
      <c r="H146" s="2" t="inlineStr">
        <is>
          <t>Prior Year</t>
        </is>
      </c>
    </row>
    <row r="147">
      <c r="A147" s="2" t="inlineStr">
        <is>
          <t>5250</t>
        </is>
      </c>
      <c r="B147" s="2" t="inlineStr">
        <is>
          <t>5250</t>
        </is>
      </c>
      <c r="C147" s="2" t="inlineStr">
        <is>
          <t>Freight In - Corporate</t>
        </is>
      </c>
      <c r="D147" s="2" t="inlineStr">
        <is>
          <t>COGS</t>
        </is>
      </c>
      <c r="E147" s="2" t="inlineStr">
        <is>
          <t>Corporate</t>
        </is>
      </c>
      <c r="F147" s="4" t="n">
        <v>10823</v>
      </c>
      <c r="G147" s="2" t="inlineStr">
        <is>
          <t>FY25 TB.csv</t>
        </is>
      </c>
      <c r="H147" s="2" t="inlineStr">
        <is>
          <t>Prior Year</t>
        </is>
      </c>
    </row>
    <row r="148">
      <c r="A148" s="2" t="inlineStr">
        <is>
          <t>5264</t>
        </is>
      </c>
      <c r="B148" s="2" t="inlineStr">
        <is>
          <t>5264</t>
        </is>
      </c>
      <c r="C148" s="2" t="inlineStr">
        <is>
          <t>Materials - Sales</t>
        </is>
      </c>
      <c r="D148" s="2" t="inlineStr">
        <is>
          <t>COGS</t>
        </is>
      </c>
      <c r="E148" s="2" t="inlineStr">
        <is>
          <t>Sales</t>
        </is>
      </c>
      <c r="F148" s="4" t="n">
        <v>25363</v>
      </c>
      <c r="G148" s="2" t="inlineStr">
        <is>
          <t>FY25 TB.csv</t>
        </is>
      </c>
      <c r="H148" s="2" t="inlineStr">
        <is>
          <t>Prior Year</t>
        </is>
      </c>
    </row>
    <row r="149">
      <c r="A149" s="2" t="inlineStr">
        <is>
          <t>5270</t>
        </is>
      </c>
      <c r="B149" s="2" t="inlineStr">
        <is>
          <t>5270</t>
        </is>
      </c>
      <c r="C149" s="2" t="inlineStr">
        <is>
          <t>Inventory Adjustments - Ops</t>
        </is>
      </c>
      <c r="D149" s="2" t="inlineStr">
        <is>
          <t>COGS</t>
        </is>
      </c>
      <c r="E149" s="2" t="inlineStr">
        <is>
          <t>Ops</t>
        </is>
      </c>
      <c r="F149" s="4" t="n">
        <v>20344</v>
      </c>
      <c r="G149" s="2" t="inlineStr">
        <is>
          <t>FY25 TB.csv</t>
        </is>
      </c>
      <c r="H149" s="2" t="inlineStr">
        <is>
          <t>Prior Year</t>
        </is>
      </c>
    </row>
    <row r="150">
      <c r="A150" s="2" t="inlineStr">
        <is>
          <t>5284</t>
        </is>
      </c>
      <c r="B150" s="2" t="inlineStr">
        <is>
          <t>5284</t>
        </is>
      </c>
      <c r="C150" s="2" t="inlineStr">
        <is>
          <t>Labor - IT</t>
        </is>
      </c>
      <c r="D150" s="2" t="inlineStr">
        <is>
          <t>COGS</t>
        </is>
      </c>
      <c r="E150" s="2" t="inlineStr">
        <is>
          <t>IT</t>
        </is>
      </c>
      <c r="F150" s="4" t="n">
        <v>62649</v>
      </c>
      <c r="G150" s="2" t="inlineStr">
        <is>
          <t>FY25 TB.csv</t>
        </is>
      </c>
      <c r="H150" s="2" t="inlineStr">
        <is>
          <t>Prior Year</t>
        </is>
      </c>
    </row>
    <row r="151">
      <c r="A151" s="2" t="inlineStr">
        <is>
          <t>5295</t>
        </is>
      </c>
      <c r="B151" s="2" t="inlineStr">
        <is>
          <t>5295</t>
        </is>
      </c>
      <c r="C151" s="2" t="inlineStr">
        <is>
          <t>Labor - Sales</t>
        </is>
      </c>
      <c r="D151" s="2" t="inlineStr">
        <is>
          <t>COGS</t>
        </is>
      </c>
      <c r="E151" s="2" t="inlineStr">
        <is>
          <t>Sales</t>
        </is>
      </c>
      <c r="F151" s="4" t="n">
        <v>26577</v>
      </c>
      <c r="G151" s="2" t="inlineStr">
        <is>
          <t>FY25 TB.csv</t>
        </is>
      </c>
      <c r="H151" s="2" t="inlineStr">
        <is>
          <t>Prior Year</t>
        </is>
      </c>
    </row>
    <row r="152">
      <c r="A152" s="2" t="inlineStr">
        <is>
          <t>5305</t>
        </is>
      </c>
      <c r="B152" s="2" t="inlineStr">
        <is>
          <t>5305</t>
        </is>
      </c>
      <c r="C152" s="2" t="inlineStr">
        <is>
          <t>Materials - Ops</t>
        </is>
      </c>
      <c r="D152" s="2" t="inlineStr">
        <is>
          <t>COGS</t>
        </is>
      </c>
      <c r="E152" s="2" t="inlineStr">
        <is>
          <t>Ops</t>
        </is>
      </c>
      <c r="F152" s="4" t="n">
        <v>45967</v>
      </c>
      <c r="G152" s="2" t="inlineStr">
        <is>
          <t>FY25 TB.csv</t>
        </is>
      </c>
      <c r="H152" s="2" t="inlineStr">
        <is>
          <t>Prior Year</t>
        </is>
      </c>
    </row>
    <row r="153">
      <c r="A153" s="2" t="inlineStr">
        <is>
          <t>5312</t>
        </is>
      </c>
      <c r="B153" s="2" t="inlineStr">
        <is>
          <t>5312</t>
        </is>
      </c>
      <c r="C153" s="2" t="inlineStr">
        <is>
          <t>Inventory Adjustments - IT</t>
        </is>
      </c>
      <c r="D153" s="2" t="inlineStr">
        <is>
          <t>COGS</t>
        </is>
      </c>
      <c r="E153" s="2" t="inlineStr">
        <is>
          <t>IT</t>
        </is>
      </c>
      <c r="F153" s="4" t="n">
        <v>15463</v>
      </c>
      <c r="G153" s="2" t="inlineStr">
        <is>
          <t>FY25 TB.csv</t>
        </is>
      </c>
      <c r="H153" s="2" t="inlineStr">
        <is>
          <t>Prior Year</t>
        </is>
      </c>
    </row>
    <row r="154">
      <c r="A154" s="2" t="inlineStr">
        <is>
          <t>5324</t>
        </is>
      </c>
      <c r="B154" s="2" t="inlineStr">
        <is>
          <t>5324</t>
        </is>
      </c>
      <c r="C154" s="2" t="inlineStr">
        <is>
          <t>Labor - Ops</t>
        </is>
      </c>
      <c r="D154" s="2" t="inlineStr">
        <is>
          <t>COGS</t>
        </is>
      </c>
      <c r="E154" s="2" t="inlineStr">
        <is>
          <t>Ops</t>
        </is>
      </c>
      <c r="F154" s="4" t="n">
        <v>30655</v>
      </c>
      <c r="G154" s="2" t="inlineStr">
        <is>
          <t>FY25 TB.csv</t>
        </is>
      </c>
      <c r="H154" s="2" t="inlineStr">
        <is>
          <t>Prior Year</t>
        </is>
      </c>
    </row>
    <row r="155">
      <c r="A155" s="2" t="inlineStr">
        <is>
          <t>5330</t>
        </is>
      </c>
      <c r="B155" s="2" t="inlineStr">
        <is>
          <t>5330</t>
        </is>
      </c>
      <c r="C155" s="2" t="inlineStr">
        <is>
          <t>Labor - Warehouse</t>
        </is>
      </c>
      <c r="D155" s="2" t="inlineStr">
        <is>
          <t>COGS</t>
        </is>
      </c>
      <c r="E155" s="2" t="inlineStr">
        <is>
          <t>Warehouse</t>
        </is>
      </c>
      <c r="F155" s="4" t="n">
        <v>26937</v>
      </c>
      <c r="G155" s="2" t="inlineStr">
        <is>
          <t>FY25 TB.csv</t>
        </is>
      </c>
      <c r="H155" s="2" t="inlineStr">
        <is>
          <t>Prior Year</t>
        </is>
      </c>
    </row>
    <row r="156">
      <c r="A156" s="2" t="inlineStr">
        <is>
          <t>5341</t>
        </is>
      </c>
      <c r="B156" s="2" t="inlineStr">
        <is>
          <t>5341</t>
        </is>
      </c>
      <c r="C156" s="2" t="inlineStr">
        <is>
          <t>Freight In - Admin</t>
        </is>
      </c>
      <c r="D156" s="2" t="inlineStr">
        <is>
          <t>COGS</t>
        </is>
      </c>
      <c r="E156" s="2" t="inlineStr">
        <is>
          <t>Admin</t>
        </is>
      </c>
      <c r="F156" s="4" t="n">
        <v>23192</v>
      </c>
      <c r="G156" s="2" t="inlineStr">
        <is>
          <t>FY25 TB.csv</t>
        </is>
      </c>
      <c r="H156" s="2" t="inlineStr">
        <is>
          <t>Prior Year</t>
        </is>
      </c>
    </row>
    <row r="157">
      <c r="A157" s="2" t="inlineStr">
        <is>
          <t>5352</t>
        </is>
      </c>
      <c r="B157" s="2" t="inlineStr">
        <is>
          <t>5352</t>
        </is>
      </c>
      <c r="C157" s="2" t="inlineStr">
        <is>
          <t>Freight In - Sales</t>
        </is>
      </c>
      <c r="D157" s="2" t="inlineStr">
        <is>
          <t>COGS</t>
        </is>
      </c>
      <c r="E157" s="2" t="inlineStr">
        <is>
          <t>Sales</t>
        </is>
      </c>
      <c r="F157" s="4" t="n">
        <v>9926</v>
      </c>
      <c r="G157" s="2" t="inlineStr">
        <is>
          <t>FY25 TB.csv</t>
        </is>
      </c>
      <c r="H157" s="2" t="inlineStr">
        <is>
          <t>Prior Year</t>
        </is>
      </c>
    </row>
    <row r="158">
      <c r="A158" s="2" t="inlineStr">
        <is>
          <t>5364</t>
        </is>
      </c>
      <c r="B158" s="2" t="inlineStr">
        <is>
          <t>5364</t>
        </is>
      </c>
      <c r="C158" s="2" t="inlineStr">
        <is>
          <t>Labor - Warehouse</t>
        </is>
      </c>
      <c r="D158" s="2" t="inlineStr">
        <is>
          <t>COGS</t>
        </is>
      </c>
      <c r="E158" s="2" t="inlineStr">
        <is>
          <t>Warehouse</t>
        </is>
      </c>
      <c r="F158" s="4" t="n">
        <v>49250</v>
      </c>
      <c r="G158" s="2" t="inlineStr">
        <is>
          <t>FY25 TB.csv</t>
        </is>
      </c>
      <c r="H158" s="2" t="inlineStr">
        <is>
          <t>Prior Year</t>
        </is>
      </c>
    </row>
    <row r="159">
      <c r="A159" s="2" t="inlineStr">
        <is>
          <t>5370</t>
        </is>
      </c>
      <c r="B159" s="2" t="inlineStr">
        <is>
          <t>5370</t>
        </is>
      </c>
      <c r="C159" s="2" t="inlineStr">
        <is>
          <t>Materials - IT</t>
        </is>
      </c>
      <c r="D159" s="2" t="inlineStr">
        <is>
          <t>COGS</t>
        </is>
      </c>
      <c r="E159" s="2" t="inlineStr">
        <is>
          <t>IT</t>
        </is>
      </c>
      <c r="F159" s="4" t="n">
        <v>150585</v>
      </c>
      <c r="G159" s="2" t="inlineStr">
        <is>
          <t>FY25 TB.csv</t>
        </is>
      </c>
      <c r="H159" s="2" t="inlineStr">
        <is>
          <t>Prior Year</t>
        </is>
      </c>
    </row>
    <row r="160">
      <c r="A160" s="2" t="inlineStr">
        <is>
          <t>5381</t>
        </is>
      </c>
      <c r="B160" s="2" t="inlineStr">
        <is>
          <t>5381</t>
        </is>
      </c>
      <c r="C160" s="2" t="inlineStr">
        <is>
          <t>Inventory Adjustments - Admin</t>
        </is>
      </c>
      <c r="D160" s="2" t="inlineStr">
        <is>
          <t>COGS</t>
        </is>
      </c>
      <c r="E160" s="2" t="inlineStr">
        <is>
          <t>Admin</t>
        </is>
      </c>
      <c r="F160" s="4" t="n">
        <v>30211</v>
      </c>
      <c r="G160" s="2" t="inlineStr">
        <is>
          <t>FY25 TB.csv</t>
        </is>
      </c>
      <c r="H160" s="2" t="inlineStr">
        <is>
          <t>Prior Year</t>
        </is>
      </c>
    </row>
    <row r="161">
      <c r="A161" s="2" t="inlineStr">
        <is>
          <t>5394</t>
        </is>
      </c>
      <c r="B161" s="2" t="inlineStr">
        <is>
          <t>5394</t>
        </is>
      </c>
      <c r="C161" s="2" t="inlineStr">
        <is>
          <t>Labor - Admin</t>
        </is>
      </c>
      <c r="D161" s="2" t="inlineStr">
        <is>
          <t>COGS</t>
        </is>
      </c>
      <c r="E161" s="2" t="inlineStr">
        <is>
          <t>Admin</t>
        </is>
      </c>
      <c r="F161" s="4" t="n">
        <v>59095</v>
      </c>
      <c r="G161" s="2" t="inlineStr">
        <is>
          <t>FY25 TB.csv</t>
        </is>
      </c>
      <c r="H161" s="2" t="inlineStr">
        <is>
          <t>Prior Year</t>
        </is>
      </c>
    </row>
    <row r="162">
      <c r="A162" s="2" t="inlineStr">
        <is>
          <t>5405</t>
        </is>
      </c>
      <c r="B162" s="2" t="inlineStr">
        <is>
          <t>5405</t>
        </is>
      </c>
      <c r="C162" s="2" t="inlineStr">
        <is>
          <t>Freight In - Corporate</t>
        </is>
      </c>
      <c r="D162" s="2" t="inlineStr">
        <is>
          <t>COGS</t>
        </is>
      </c>
      <c r="E162" s="2" t="inlineStr">
        <is>
          <t>Corporate</t>
        </is>
      </c>
      <c r="F162" s="4" t="n">
        <v>73692</v>
      </c>
      <c r="G162" s="2" t="inlineStr">
        <is>
          <t>FY25 TB.csv</t>
        </is>
      </c>
      <c r="H162" s="2" t="inlineStr">
        <is>
          <t>Prior Year</t>
        </is>
      </c>
    </row>
    <row r="163">
      <c r="A163" s="2" t="inlineStr">
        <is>
          <t>5410</t>
        </is>
      </c>
      <c r="B163" s="2" t="inlineStr">
        <is>
          <t>5410</t>
        </is>
      </c>
      <c r="C163" s="2" t="inlineStr">
        <is>
          <t>Labor - Corporate</t>
        </is>
      </c>
      <c r="D163" s="2" t="inlineStr">
        <is>
          <t>COGS</t>
        </is>
      </c>
      <c r="E163" s="2" t="inlineStr">
        <is>
          <t>Corporate</t>
        </is>
      </c>
      <c r="F163" s="4" t="n">
        <v>34853</v>
      </c>
      <c r="G163" s="2" t="inlineStr">
        <is>
          <t>FY25 TB.csv</t>
        </is>
      </c>
      <c r="H163" s="2" t="inlineStr">
        <is>
          <t>Prior Year</t>
        </is>
      </c>
    </row>
    <row r="164">
      <c r="A164" s="2" t="inlineStr">
        <is>
          <t>5422</t>
        </is>
      </c>
      <c r="B164" s="2" t="inlineStr">
        <is>
          <t>5422</t>
        </is>
      </c>
      <c r="C164" s="2" t="inlineStr">
        <is>
          <t>Freight In - Corporate</t>
        </is>
      </c>
      <c r="D164" s="2" t="inlineStr">
        <is>
          <t>COGS</t>
        </is>
      </c>
      <c r="E164" s="2" t="inlineStr">
        <is>
          <t>Corporate</t>
        </is>
      </c>
      <c r="F164" s="4" t="n">
        <v>31502</v>
      </c>
      <c r="G164" s="2" t="inlineStr">
        <is>
          <t>FY25 TB.csv</t>
        </is>
      </c>
      <c r="H164" s="2" t="inlineStr">
        <is>
          <t>Prior Year</t>
        </is>
      </c>
    </row>
    <row r="165">
      <c r="A165" s="2" t="inlineStr">
        <is>
          <t>5433</t>
        </is>
      </c>
      <c r="B165" s="2" t="inlineStr">
        <is>
          <t>5433</t>
        </is>
      </c>
      <c r="C165" s="2" t="inlineStr">
        <is>
          <t>Materials - Sales</t>
        </is>
      </c>
      <c r="D165" s="2" t="inlineStr">
        <is>
          <t>COGS</t>
        </is>
      </c>
      <c r="E165" s="2" t="inlineStr">
        <is>
          <t>Sales</t>
        </is>
      </c>
      <c r="F165" s="4" t="n">
        <v>33274</v>
      </c>
      <c r="G165" s="2" t="inlineStr">
        <is>
          <t>FY25 TB.csv</t>
        </is>
      </c>
      <c r="H165" s="2" t="inlineStr">
        <is>
          <t>Prior Year</t>
        </is>
      </c>
    </row>
    <row r="166">
      <c r="A166" s="2" t="inlineStr">
        <is>
          <t>5444</t>
        </is>
      </c>
      <c r="B166" s="2" t="inlineStr">
        <is>
          <t>5444</t>
        </is>
      </c>
      <c r="C166" s="2" t="inlineStr">
        <is>
          <t>Inventory Adjustments - Warehouse</t>
        </is>
      </c>
      <c r="D166" s="2" t="inlineStr">
        <is>
          <t>COGS</t>
        </is>
      </c>
      <c r="E166" s="2" t="inlineStr">
        <is>
          <t>Warehouse</t>
        </is>
      </c>
      <c r="F166" s="4" t="n">
        <v>42253</v>
      </c>
      <c r="G166" s="2" t="inlineStr">
        <is>
          <t>FY25 TB.csv</t>
        </is>
      </c>
      <c r="H166" s="2" t="inlineStr">
        <is>
          <t>Prior Year</t>
        </is>
      </c>
    </row>
    <row r="167">
      <c r="A167" s="2" t="inlineStr">
        <is>
          <t>6000</t>
        </is>
      </c>
      <c r="B167" s="2" t="inlineStr">
        <is>
          <t>6000</t>
        </is>
      </c>
      <c r="C167" s="2" t="inlineStr">
        <is>
          <t>Salaries - IT</t>
        </is>
      </c>
      <c r="D167" s="2" t="inlineStr">
        <is>
          <t>Operating Expenses</t>
        </is>
      </c>
      <c r="E167" s="2" t="inlineStr">
        <is>
          <t>IT</t>
        </is>
      </c>
      <c r="F167" s="4" t="n">
        <v>47141</v>
      </c>
      <c r="G167" s="2" t="inlineStr">
        <is>
          <t>FY25 TB.csv</t>
        </is>
      </c>
      <c r="H167" s="2" t="inlineStr">
        <is>
          <t>Prior Year</t>
        </is>
      </c>
    </row>
    <row r="168">
      <c r="A168" s="2" t="inlineStr">
        <is>
          <t>6012</t>
        </is>
      </c>
      <c r="B168" s="2" t="inlineStr">
        <is>
          <t>6012</t>
        </is>
      </c>
      <c r="C168" s="2" t="inlineStr">
        <is>
          <t>Marketing - Sales</t>
        </is>
      </c>
      <c r="D168" s="2" t="inlineStr">
        <is>
          <t>Operating Expenses</t>
        </is>
      </c>
      <c r="E168" s="2" t="inlineStr">
        <is>
          <t>Sales</t>
        </is>
      </c>
      <c r="F168" s="4" t="n">
        <v>15423</v>
      </c>
      <c r="G168" s="2" t="inlineStr">
        <is>
          <t>FY25 TB.csv</t>
        </is>
      </c>
      <c r="H168" s="2" t="inlineStr">
        <is>
          <t>Prior Year</t>
        </is>
      </c>
    </row>
    <row r="169">
      <c r="A169" s="2" t="inlineStr">
        <is>
          <t>6022</t>
        </is>
      </c>
      <c r="B169" s="2" t="inlineStr">
        <is>
          <t>6022</t>
        </is>
      </c>
      <c r="C169" s="2" t="inlineStr">
        <is>
          <t>Marketing - Admin</t>
        </is>
      </c>
      <c r="D169" s="2" t="inlineStr">
        <is>
          <t>Operating Expenses</t>
        </is>
      </c>
      <c r="E169" s="2" t="inlineStr">
        <is>
          <t>Admin</t>
        </is>
      </c>
      <c r="F169" s="4" t="n">
        <v>9505</v>
      </c>
      <c r="G169" s="2" t="inlineStr">
        <is>
          <t>FY25 TB.csv</t>
        </is>
      </c>
      <c r="H169" s="2" t="inlineStr">
        <is>
          <t>Prior Year</t>
        </is>
      </c>
    </row>
    <row r="170">
      <c r="A170" s="2" t="inlineStr">
        <is>
          <t>6030</t>
        </is>
      </c>
      <c r="B170" s="2" t="inlineStr">
        <is>
          <t>6030</t>
        </is>
      </c>
      <c r="C170" s="2" t="inlineStr">
        <is>
          <t>Utilities - Sales</t>
        </is>
      </c>
      <c r="D170" s="2" t="inlineStr">
        <is>
          <t>Operating Expenses</t>
        </is>
      </c>
      <c r="E170" s="2" t="inlineStr">
        <is>
          <t>Sales</t>
        </is>
      </c>
      <c r="F170" s="4" t="n">
        <v>42844</v>
      </c>
      <c r="G170" s="2" t="inlineStr">
        <is>
          <t>FY25 TB.csv</t>
        </is>
      </c>
      <c r="H170" s="2" t="inlineStr">
        <is>
          <t>Prior Year</t>
        </is>
      </c>
    </row>
    <row r="171">
      <c r="A171" s="2" t="inlineStr">
        <is>
          <t>6040</t>
        </is>
      </c>
      <c r="B171" s="2" t="inlineStr">
        <is>
          <t>6040</t>
        </is>
      </c>
      <c r="C171" s="2" t="inlineStr">
        <is>
          <t>Office Supplies - Corporate</t>
        </is>
      </c>
      <c r="D171" s="2" t="inlineStr">
        <is>
          <t>Operating Expenses</t>
        </is>
      </c>
      <c r="E171" s="2" t="inlineStr">
        <is>
          <t>Corporate</t>
        </is>
      </c>
      <c r="F171" s="4" t="n">
        <v>21502</v>
      </c>
      <c r="G171" s="2" t="inlineStr">
        <is>
          <t>FY25 TB.csv</t>
        </is>
      </c>
      <c r="H171" s="2" t="inlineStr">
        <is>
          <t>Prior Year</t>
        </is>
      </c>
    </row>
    <row r="172">
      <c r="A172" s="2" t="inlineStr">
        <is>
          <t>6055</t>
        </is>
      </c>
      <c r="B172" s="2" t="inlineStr">
        <is>
          <t>6055</t>
        </is>
      </c>
      <c r="C172" s="2" t="inlineStr">
        <is>
          <t>Software - Admin</t>
        </is>
      </c>
      <c r="D172" s="2" t="inlineStr">
        <is>
          <t>Operating Expenses</t>
        </is>
      </c>
      <c r="E172" s="2" t="inlineStr">
        <is>
          <t>Admin</t>
        </is>
      </c>
      <c r="F172" s="4" t="n">
        <v>65837</v>
      </c>
      <c r="G172" s="2" t="inlineStr">
        <is>
          <t>FY25 TB.csv</t>
        </is>
      </c>
      <c r="H172" s="2" t="inlineStr">
        <is>
          <t>Prior Year</t>
        </is>
      </c>
    </row>
    <row r="173">
      <c r="A173" s="2" t="inlineStr">
        <is>
          <t>6063</t>
        </is>
      </c>
      <c r="B173" s="2" t="inlineStr">
        <is>
          <t>6063</t>
        </is>
      </c>
      <c r="C173" s="2" t="inlineStr">
        <is>
          <t>Insurance - Sales</t>
        </is>
      </c>
      <c r="D173" s="2" t="inlineStr">
        <is>
          <t>Operating Expenses</t>
        </is>
      </c>
      <c r="E173" s="2" t="inlineStr">
        <is>
          <t>Sales</t>
        </is>
      </c>
      <c r="F173" s="4" t="n">
        <v>15669</v>
      </c>
      <c r="G173" s="2" t="inlineStr">
        <is>
          <t>FY25 TB.csv</t>
        </is>
      </c>
      <c r="H173" s="2" t="inlineStr">
        <is>
          <t>Prior Year</t>
        </is>
      </c>
    </row>
    <row r="174">
      <c r="A174" s="2" t="inlineStr">
        <is>
          <t>6074</t>
        </is>
      </c>
      <c r="B174" s="2" t="inlineStr">
        <is>
          <t>6074</t>
        </is>
      </c>
      <c r="C174" s="2" t="inlineStr">
        <is>
          <t>Software - Corporate</t>
        </is>
      </c>
      <c r="D174" s="2" t="inlineStr">
        <is>
          <t>Operating Expenses</t>
        </is>
      </c>
      <c r="E174" s="2" t="inlineStr">
        <is>
          <t>Corporate</t>
        </is>
      </c>
      <c r="F174" s="4" t="n">
        <v>10986</v>
      </c>
      <c r="G174" s="2" t="inlineStr">
        <is>
          <t>FY25 TB.csv</t>
        </is>
      </c>
      <c r="H174" s="2" t="inlineStr">
        <is>
          <t>Prior Year</t>
        </is>
      </c>
    </row>
    <row r="175">
      <c r="A175" s="2" t="inlineStr">
        <is>
          <t>6081</t>
        </is>
      </c>
      <c r="B175" s="2" t="inlineStr">
        <is>
          <t>6081</t>
        </is>
      </c>
      <c r="C175" s="2" t="inlineStr">
        <is>
          <t>Travel - Ops</t>
        </is>
      </c>
      <c r="D175" s="2" t="inlineStr">
        <is>
          <t>Operating Expenses</t>
        </is>
      </c>
      <c r="E175" s="2" t="inlineStr">
        <is>
          <t>Ops</t>
        </is>
      </c>
      <c r="F175" s="4" t="n">
        <v>6109</v>
      </c>
      <c r="G175" s="2" t="inlineStr">
        <is>
          <t>FY25 TB.csv</t>
        </is>
      </c>
      <c r="H175" s="2" t="inlineStr">
        <is>
          <t>Prior Year</t>
        </is>
      </c>
    </row>
    <row r="176">
      <c r="A176" s="2" t="inlineStr">
        <is>
          <t>6093</t>
        </is>
      </c>
      <c r="B176" s="2" t="inlineStr">
        <is>
          <t>6093</t>
        </is>
      </c>
      <c r="C176" s="2" t="inlineStr">
        <is>
          <t>Repairs - Admin</t>
        </is>
      </c>
      <c r="D176" s="2" t="inlineStr">
        <is>
          <t>Operating Expenses</t>
        </is>
      </c>
      <c r="E176" s="2" t="inlineStr">
        <is>
          <t>Admin</t>
        </is>
      </c>
      <c r="F176" s="4" t="n">
        <v>15832</v>
      </c>
      <c r="G176" s="2" t="inlineStr">
        <is>
          <t>FY25 TB.csv</t>
        </is>
      </c>
      <c r="H176" s="2" t="inlineStr">
        <is>
          <t>Prior Year</t>
        </is>
      </c>
    </row>
    <row r="177">
      <c r="A177" s="2" t="inlineStr">
        <is>
          <t>6101</t>
        </is>
      </c>
      <c r="B177" s="2" t="inlineStr">
        <is>
          <t>6101</t>
        </is>
      </c>
      <c r="C177" s="2" t="inlineStr">
        <is>
          <t>Insurance - Warehouse</t>
        </is>
      </c>
      <c r="D177" s="2" t="inlineStr">
        <is>
          <t>Operating Expenses</t>
        </is>
      </c>
      <c r="E177" s="2" t="inlineStr">
        <is>
          <t>Warehouse</t>
        </is>
      </c>
      <c r="F177" s="4" t="n">
        <v>6582</v>
      </c>
      <c r="G177" s="2" t="inlineStr">
        <is>
          <t>FY25 TB.csv</t>
        </is>
      </c>
      <c r="H177" s="2" t="inlineStr">
        <is>
          <t>Prior Year</t>
        </is>
      </c>
    </row>
    <row r="178">
      <c r="A178" s="2" t="inlineStr">
        <is>
          <t>6114</t>
        </is>
      </c>
      <c r="B178" s="2" t="inlineStr">
        <is>
          <t>6114</t>
        </is>
      </c>
      <c r="C178" s="2" t="inlineStr">
        <is>
          <t>Marketing - Corporate</t>
        </is>
      </c>
      <c r="D178" s="2" t="inlineStr">
        <is>
          <t>Operating Expenses</t>
        </is>
      </c>
      <c r="E178" s="2" t="inlineStr">
        <is>
          <t>Corporate</t>
        </is>
      </c>
      <c r="F178" s="4" t="n">
        <v>170046</v>
      </c>
      <c r="G178" s="2" t="inlineStr">
        <is>
          <t>FY25 TB.csv</t>
        </is>
      </c>
      <c r="H178" s="2" t="inlineStr">
        <is>
          <t>Prior Year</t>
        </is>
      </c>
    </row>
    <row r="179">
      <c r="A179" s="2" t="inlineStr">
        <is>
          <t>6121</t>
        </is>
      </c>
      <c r="B179" s="2" t="inlineStr">
        <is>
          <t>6121</t>
        </is>
      </c>
      <c r="C179" s="2" t="inlineStr">
        <is>
          <t>Software - IT</t>
        </is>
      </c>
      <c r="D179" s="2" t="inlineStr">
        <is>
          <t>Operating Expenses</t>
        </is>
      </c>
      <c r="E179" s="2" t="inlineStr">
        <is>
          <t>IT</t>
        </is>
      </c>
      <c r="F179" s="4" t="n">
        <v>15881</v>
      </c>
      <c r="G179" s="2" t="inlineStr">
        <is>
          <t>FY25 TB.csv</t>
        </is>
      </c>
      <c r="H179" s="2" t="inlineStr">
        <is>
          <t>Prior Year</t>
        </is>
      </c>
    </row>
    <row r="180">
      <c r="A180" s="2" t="inlineStr">
        <is>
          <t>6135</t>
        </is>
      </c>
      <c r="B180" s="2" t="inlineStr">
        <is>
          <t>6135</t>
        </is>
      </c>
      <c r="C180" s="2" t="inlineStr">
        <is>
          <t>Software - Admin</t>
        </is>
      </c>
      <c r="D180" s="2" t="inlineStr">
        <is>
          <t>Operating Expenses</t>
        </is>
      </c>
      <c r="E180" s="2" t="inlineStr">
        <is>
          <t>Admin</t>
        </is>
      </c>
      <c r="F180" s="4" t="n">
        <v>7657</v>
      </c>
      <c r="G180" s="2" t="inlineStr">
        <is>
          <t>FY25 TB.csv</t>
        </is>
      </c>
      <c r="H180" s="2" t="inlineStr">
        <is>
          <t>Prior Year</t>
        </is>
      </c>
    </row>
    <row r="181">
      <c r="A181" s="2" t="inlineStr">
        <is>
          <t>6142</t>
        </is>
      </c>
      <c r="B181" s="2" t="inlineStr">
        <is>
          <t>6142</t>
        </is>
      </c>
      <c r="C181" s="2" t="inlineStr">
        <is>
          <t>Insurance - IT</t>
        </is>
      </c>
      <c r="D181" s="2" t="inlineStr">
        <is>
          <t>Operating Expenses</t>
        </is>
      </c>
      <c r="E181" s="2" t="inlineStr">
        <is>
          <t>IT</t>
        </is>
      </c>
      <c r="F181" s="4" t="n">
        <v>128303</v>
      </c>
      <c r="G181" s="2" t="inlineStr">
        <is>
          <t>FY25 TB.csv</t>
        </is>
      </c>
      <c r="H181" s="2" t="inlineStr">
        <is>
          <t>Prior Year</t>
        </is>
      </c>
    </row>
    <row r="182">
      <c r="A182" s="2" t="inlineStr">
        <is>
          <t>6152</t>
        </is>
      </c>
      <c r="B182" s="2" t="inlineStr">
        <is>
          <t>6152</t>
        </is>
      </c>
      <c r="C182" s="2" t="inlineStr">
        <is>
          <t>Travel - Admin</t>
        </is>
      </c>
      <c r="D182" s="2" t="inlineStr">
        <is>
          <t>Operating Expenses</t>
        </is>
      </c>
      <c r="E182" s="2" t="inlineStr">
        <is>
          <t>Admin</t>
        </is>
      </c>
      <c r="F182" s="4" t="n">
        <v>18150</v>
      </c>
      <c r="G182" s="2" t="inlineStr">
        <is>
          <t>FY25 TB.csv</t>
        </is>
      </c>
      <c r="H182" s="2" t="inlineStr">
        <is>
          <t>Prior Year</t>
        </is>
      </c>
    </row>
    <row r="183">
      <c r="A183" s="2" t="inlineStr">
        <is>
          <t>6163</t>
        </is>
      </c>
      <c r="B183" s="2" t="inlineStr">
        <is>
          <t>6163</t>
        </is>
      </c>
      <c r="C183" s="2" t="inlineStr">
        <is>
          <t>Salaries - Sales</t>
        </is>
      </c>
      <c r="D183" s="2" t="inlineStr">
        <is>
          <t>Operating Expenses</t>
        </is>
      </c>
      <c r="E183" s="2" t="inlineStr">
        <is>
          <t>Sales</t>
        </is>
      </c>
      <c r="F183" s="4" t="n">
        <v>53668</v>
      </c>
      <c r="G183" s="2" t="inlineStr">
        <is>
          <t>FY25 TB.csv</t>
        </is>
      </c>
      <c r="H183" s="2" t="inlineStr">
        <is>
          <t>Prior Year</t>
        </is>
      </c>
    </row>
    <row r="184">
      <c r="A184" s="2" t="inlineStr">
        <is>
          <t>6170</t>
        </is>
      </c>
      <c r="B184" s="2" t="inlineStr">
        <is>
          <t>6170</t>
        </is>
      </c>
      <c r="C184" s="2" t="inlineStr">
        <is>
          <t>Salaries - Admin</t>
        </is>
      </c>
      <c r="D184" s="2" t="inlineStr">
        <is>
          <t>Operating Expenses</t>
        </is>
      </c>
      <c r="E184" s="2" t="inlineStr">
        <is>
          <t>Admin</t>
        </is>
      </c>
      <c r="F184" s="4" t="n">
        <v>2872</v>
      </c>
      <c r="G184" s="2" t="inlineStr">
        <is>
          <t>FY25 TB.csv</t>
        </is>
      </c>
      <c r="H184" s="2" t="inlineStr">
        <is>
          <t>Prior Year</t>
        </is>
      </c>
    </row>
    <row r="185">
      <c r="A185" s="2" t="inlineStr">
        <is>
          <t>6180</t>
        </is>
      </c>
      <c r="B185" s="2" t="inlineStr">
        <is>
          <t>6180</t>
        </is>
      </c>
      <c r="C185" s="2" t="inlineStr">
        <is>
          <t>Software - IT</t>
        </is>
      </c>
      <c r="D185" s="2" t="inlineStr">
        <is>
          <t>Operating Expenses</t>
        </is>
      </c>
      <c r="E185" s="2" t="inlineStr">
        <is>
          <t>IT</t>
        </is>
      </c>
      <c r="F185" s="4" t="n">
        <v>67607</v>
      </c>
      <c r="G185" s="2" t="inlineStr">
        <is>
          <t>FY25 TB.csv</t>
        </is>
      </c>
      <c r="H185" s="2" t="inlineStr">
        <is>
          <t>Prior Year</t>
        </is>
      </c>
    </row>
    <row r="186">
      <c r="A186" s="2" t="inlineStr">
        <is>
          <t>6190</t>
        </is>
      </c>
      <c r="B186" s="2" t="inlineStr">
        <is>
          <t>6190</t>
        </is>
      </c>
      <c r="C186" s="2" t="inlineStr">
        <is>
          <t>Office Supplies - IT</t>
        </is>
      </c>
      <c r="D186" s="2" t="inlineStr">
        <is>
          <t>Operating Expenses</t>
        </is>
      </c>
      <c r="E186" s="2" t="inlineStr">
        <is>
          <t>IT</t>
        </is>
      </c>
      <c r="F186" s="4" t="n">
        <v>42990</v>
      </c>
      <c r="G186" s="2" t="inlineStr">
        <is>
          <t>FY25 TB.csv</t>
        </is>
      </c>
      <c r="H186" s="2" t="inlineStr">
        <is>
          <t>Prior Year</t>
        </is>
      </c>
    </row>
    <row r="187">
      <c r="A187" s="2" t="inlineStr">
        <is>
          <t>6203</t>
        </is>
      </c>
      <c r="B187" s="2" t="inlineStr">
        <is>
          <t>6203</t>
        </is>
      </c>
      <c r="C187" s="2" t="inlineStr">
        <is>
          <t>Utilities - Sales</t>
        </is>
      </c>
      <c r="D187" s="2" t="inlineStr">
        <is>
          <t>Operating Expenses</t>
        </is>
      </c>
      <c r="E187" s="2" t="inlineStr">
        <is>
          <t>Sales</t>
        </is>
      </c>
      <c r="F187" s="4" t="n">
        <v>42157</v>
      </c>
      <c r="G187" s="2" t="inlineStr">
        <is>
          <t>FY25 TB.csv</t>
        </is>
      </c>
      <c r="H187" s="2" t="inlineStr">
        <is>
          <t>Prior Year</t>
        </is>
      </c>
    </row>
    <row r="188">
      <c r="A188" s="2" t="inlineStr">
        <is>
          <t>6214</t>
        </is>
      </c>
      <c r="B188" s="2" t="inlineStr">
        <is>
          <t>6214</t>
        </is>
      </c>
      <c r="C188" s="2" t="inlineStr">
        <is>
          <t>Marketing - Admin</t>
        </is>
      </c>
      <c r="D188" s="2" t="inlineStr">
        <is>
          <t>Operating Expenses</t>
        </is>
      </c>
      <c r="E188" s="2" t="inlineStr">
        <is>
          <t>Admin</t>
        </is>
      </c>
      <c r="F188" s="4" t="n">
        <v>51744</v>
      </c>
      <c r="G188" s="2" t="inlineStr">
        <is>
          <t>FY25 TB.csv</t>
        </is>
      </c>
      <c r="H188" s="2" t="inlineStr">
        <is>
          <t>Prior Year</t>
        </is>
      </c>
    </row>
    <row r="189">
      <c r="A189" s="2" t="inlineStr">
        <is>
          <t>6225</t>
        </is>
      </c>
      <c r="B189" s="2" t="inlineStr">
        <is>
          <t>6225</t>
        </is>
      </c>
      <c r="C189" s="2" t="inlineStr">
        <is>
          <t>Repairs - Admin</t>
        </is>
      </c>
      <c r="D189" s="2" t="inlineStr">
        <is>
          <t>Operating Expenses</t>
        </is>
      </c>
      <c r="E189" s="2" t="inlineStr">
        <is>
          <t>Admin</t>
        </is>
      </c>
      <c r="F189" s="4" t="n">
        <v>26645</v>
      </c>
      <c r="G189" s="2" t="inlineStr">
        <is>
          <t>FY25 TB.csv</t>
        </is>
      </c>
      <c r="H189" s="2" t="inlineStr">
        <is>
          <t>Prior Year</t>
        </is>
      </c>
    </row>
    <row r="190">
      <c r="A190" s="2" t="inlineStr">
        <is>
          <t>6231</t>
        </is>
      </c>
      <c r="B190" s="2" t="inlineStr">
        <is>
          <t>6231</t>
        </is>
      </c>
      <c r="C190" s="2" t="inlineStr">
        <is>
          <t>Rent - Sales</t>
        </is>
      </c>
      <c r="D190" s="2" t="inlineStr">
        <is>
          <t>Operating Expenses</t>
        </is>
      </c>
      <c r="E190" s="2" t="inlineStr">
        <is>
          <t>Sales</t>
        </is>
      </c>
      <c r="F190" s="4" t="n">
        <v>106402</v>
      </c>
      <c r="G190" s="2" t="inlineStr">
        <is>
          <t>FY25 TB.csv</t>
        </is>
      </c>
      <c r="H190" s="2" t="inlineStr">
        <is>
          <t>Prior Year</t>
        </is>
      </c>
    </row>
    <row r="191">
      <c r="A191" s="2" t="inlineStr">
        <is>
          <t>6240</t>
        </is>
      </c>
      <c r="B191" s="2" t="inlineStr">
        <is>
          <t>6240</t>
        </is>
      </c>
      <c r="C191" s="2" t="inlineStr">
        <is>
          <t>Marketing - Ops</t>
        </is>
      </c>
      <c r="D191" s="2" t="inlineStr">
        <is>
          <t>Operating Expenses</t>
        </is>
      </c>
      <c r="E191" s="2" t="inlineStr">
        <is>
          <t>Ops</t>
        </is>
      </c>
      <c r="F191" s="4" t="n">
        <v>24759</v>
      </c>
      <c r="G191" s="2" t="inlineStr">
        <is>
          <t>FY25 TB.csv</t>
        </is>
      </c>
      <c r="H191" s="2" t="inlineStr">
        <is>
          <t>Prior Year</t>
        </is>
      </c>
    </row>
    <row r="192">
      <c r="A192" s="2" t="inlineStr">
        <is>
          <t>6253</t>
        </is>
      </c>
      <c r="B192" s="2" t="inlineStr">
        <is>
          <t>6253</t>
        </is>
      </c>
      <c r="C192" s="2" t="inlineStr">
        <is>
          <t>Repairs - Corporate</t>
        </is>
      </c>
      <c r="D192" s="2" t="inlineStr">
        <is>
          <t>Operating Expenses</t>
        </is>
      </c>
      <c r="E192" s="2" t="inlineStr">
        <is>
          <t>Corporate</t>
        </is>
      </c>
      <c r="F192" s="4" t="n">
        <v>120440</v>
      </c>
      <c r="G192" s="2" t="inlineStr">
        <is>
          <t>FY25 TB.csv</t>
        </is>
      </c>
      <c r="H192" s="2" t="inlineStr">
        <is>
          <t>Prior Year</t>
        </is>
      </c>
    </row>
    <row r="193">
      <c r="A193" s="2" t="inlineStr">
        <is>
          <t>6260</t>
        </is>
      </c>
      <c r="B193" s="2" t="inlineStr">
        <is>
          <t>6260</t>
        </is>
      </c>
      <c r="C193" s="2" t="inlineStr">
        <is>
          <t>Salaries - Ops</t>
        </is>
      </c>
      <c r="D193" s="2" t="inlineStr">
        <is>
          <t>Operating Expenses</t>
        </is>
      </c>
      <c r="E193" s="2" t="inlineStr">
        <is>
          <t>Ops</t>
        </is>
      </c>
      <c r="F193" s="4" t="n">
        <v>22959</v>
      </c>
      <c r="G193" s="2" t="inlineStr">
        <is>
          <t>FY25 TB.csv</t>
        </is>
      </c>
      <c r="H193" s="2" t="inlineStr">
        <is>
          <t>Prior Year</t>
        </is>
      </c>
    </row>
    <row r="194">
      <c r="A194" s="2" t="inlineStr">
        <is>
          <t>6270</t>
        </is>
      </c>
      <c r="B194" s="2" t="inlineStr">
        <is>
          <t>6270</t>
        </is>
      </c>
      <c r="C194" s="2" t="inlineStr">
        <is>
          <t>Repairs - Sales</t>
        </is>
      </c>
      <c r="D194" s="2" t="inlineStr">
        <is>
          <t>Operating Expenses</t>
        </is>
      </c>
      <c r="E194" s="2" t="inlineStr">
        <is>
          <t>Sales</t>
        </is>
      </c>
      <c r="F194" s="4" t="n">
        <v>62143</v>
      </c>
      <c r="G194" s="2" t="inlineStr">
        <is>
          <t>FY25 TB.csv</t>
        </is>
      </c>
      <c r="H194" s="2" t="inlineStr">
        <is>
          <t>Prior Year</t>
        </is>
      </c>
    </row>
    <row r="195">
      <c r="A195" s="2" t="inlineStr">
        <is>
          <t>6280</t>
        </is>
      </c>
      <c r="B195" s="2" t="inlineStr">
        <is>
          <t>6280</t>
        </is>
      </c>
      <c r="C195" s="2" t="inlineStr">
        <is>
          <t>Marketing - Sales</t>
        </is>
      </c>
      <c r="D195" s="2" t="inlineStr">
        <is>
          <t>Operating Expenses</t>
        </is>
      </c>
      <c r="E195" s="2" t="inlineStr">
        <is>
          <t>Sales</t>
        </is>
      </c>
      <c r="F195" s="4" t="n">
        <v>90405</v>
      </c>
      <c r="G195" s="2" t="inlineStr">
        <is>
          <t>FY25 TB.csv</t>
        </is>
      </c>
      <c r="H195" s="2" t="inlineStr">
        <is>
          <t>Prior Year</t>
        </is>
      </c>
    </row>
    <row r="196">
      <c r="A196" s="2" t="inlineStr">
        <is>
          <t>6291</t>
        </is>
      </c>
      <c r="B196" s="2" t="inlineStr">
        <is>
          <t>6291</t>
        </is>
      </c>
      <c r="C196" s="2" t="inlineStr">
        <is>
          <t>Travel - Sales</t>
        </is>
      </c>
      <c r="D196" s="2" t="inlineStr">
        <is>
          <t>Operating Expenses</t>
        </is>
      </c>
      <c r="E196" s="2" t="inlineStr">
        <is>
          <t>Sales</t>
        </is>
      </c>
      <c r="F196" s="4" t="n">
        <v>35848</v>
      </c>
      <c r="G196" s="2" t="inlineStr">
        <is>
          <t>FY25 TB.csv</t>
        </is>
      </c>
      <c r="H196" s="2" t="inlineStr">
        <is>
          <t>Prior Year</t>
        </is>
      </c>
    </row>
    <row r="197">
      <c r="A197" s="2" t="inlineStr">
        <is>
          <t>6303</t>
        </is>
      </c>
      <c r="B197" s="2" t="inlineStr">
        <is>
          <t>6303</t>
        </is>
      </c>
      <c r="C197" s="2" t="inlineStr">
        <is>
          <t>Rent - Corporate</t>
        </is>
      </c>
      <c r="D197" s="2" t="inlineStr">
        <is>
          <t>Operating Expenses</t>
        </is>
      </c>
      <c r="E197" s="2" t="inlineStr">
        <is>
          <t>Corporate</t>
        </is>
      </c>
      <c r="F197" s="4" t="n">
        <v>5901</v>
      </c>
      <c r="G197" s="2" t="inlineStr">
        <is>
          <t>FY25 TB.csv</t>
        </is>
      </c>
      <c r="H197" s="2" t="inlineStr">
        <is>
          <t>Prior Year</t>
        </is>
      </c>
    </row>
    <row r="198">
      <c r="A198" s="2" t="inlineStr">
        <is>
          <t>6310</t>
        </is>
      </c>
      <c r="B198" s="2" t="inlineStr">
        <is>
          <t>6310</t>
        </is>
      </c>
      <c r="C198" s="2" t="inlineStr">
        <is>
          <t>Marketing - Admin</t>
        </is>
      </c>
      <c r="D198" s="2" t="inlineStr">
        <is>
          <t>Operating Expenses</t>
        </is>
      </c>
      <c r="E198" s="2" t="inlineStr">
        <is>
          <t>Admin</t>
        </is>
      </c>
      <c r="F198" s="4" t="n">
        <v>23882</v>
      </c>
      <c r="G198" s="2" t="inlineStr">
        <is>
          <t>FY25 TB.csv</t>
        </is>
      </c>
      <c r="H198" s="2" t="inlineStr">
        <is>
          <t>Prior Year</t>
        </is>
      </c>
    </row>
    <row r="199">
      <c r="A199" s="2" t="inlineStr">
        <is>
          <t>6323</t>
        </is>
      </c>
      <c r="B199" s="2" t="inlineStr">
        <is>
          <t>6323</t>
        </is>
      </c>
      <c r="C199" s="2" t="inlineStr">
        <is>
          <t>Utilities - Corporate</t>
        </is>
      </c>
      <c r="D199" s="2" t="inlineStr">
        <is>
          <t>Operating Expenses</t>
        </is>
      </c>
      <c r="E199" s="2" t="inlineStr">
        <is>
          <t>Corporate</t>
        </is>
      </c>
      <c r="F199" s="4" t="n">
        <v>27835</v>
      </c>
      <c r="G199" s="2" t="inlineStr">
        <is>
          <t>FY25 TB.csv</t>
        </is>
      </c>
      <c r="H199" s="2" t="inlineStr">
        <is>
          <t>Prior Year</t>
        </is>
      </c>
    </row>
    <row r="200">
      <c r="A200" s="2" t="inlineStr">
        <is>
          <t>6335</t>
        </is>
      </c>
      <c r="B200" s="2" t="inlineStr">
        <is>
          <t>6335</t>
        </is>
      </c>
      <c r="C200" s="2" t="inlineStr">
        <is>
          <t>Travel - Sales</t>
        </is>
      </c>
      <c r="D200" s="2" t="inlineStr">
        <is>
          <t>Operating Expenses</t>
        </is>
      </c>
      <c r="E200" s="2" t="inlineStr">
        <is>
          <t>Sales</t>
        </is>
      </c>
      <c r="F200" s="4" t="n">
        <v>4860</v>
      </c>
      <c r="G200" s="2" t="inlineStr">
        <is>
          <t>FY25 TB.csv</t>
        </is>
      </c>
      <c r="H200" s="2" t="inlineStr">
        <is>
          <t>Prior Year</t>
        </is>
      </c>
    </row>
    <row r="201">
      <c r="A201" s="2" t="inlineStr">
        <is>
          <t>6341</t>
        </is>
      </c>
      <c r="B201" s="2" t="inlineStr">
        <is>
          <t>6341</t>
        </is>
      </c>
      <c r="C201" s="2" t="inlineStr">
        <is>
          <t>Utilities - Admin</t>
        </is>
      </c>
      <c r="D201" s="2" t="inlineStr">
        <is>
          <t>Operating Expenses</t>
        </is>
      </c>
      <c r="E201" s="2" t="inlineStr">
        <is>
          <t>Admin</t>
        </is>
      </c>
      <c r="F201" s="4" t="n">
        <v>232845</v>
      </c>
      <c r="G201" s="2" t="inlineStr">
        <is>
          <t>FY25 TB.csv</t>
        </is>
      </c>
      <c r="H201" s="2" t="inlineStr">
        <is>
          <t>Prior Year</t>
        </is>
      </c>
    </row>
    <row r="202">
      <c r="A202" s="2" t="inlineStr">
        <is>
          <t>6352</t>
        </is>
      </c>
      <c r="B202" s="2" t="inlineStr">
        <is>
          <t>6352</t>
        </is>
      </c>
      <c r="C202" s="2" t="inlineStr">
        <is>
          <t>Insurance - Corporate</t>
        </is>
      </c>
      <c r="D202" s="2" t="inlineStr">
        <is>
          <t>Operating Expenses</t>
        </is>
      </c>
      <c r="E202" s="2" t="inlineStr">
        <is>
          <t>Corporate</t>
        </is>
      </c>
      <c r="F202" s="4" t="n">
        <v>31680</v>
      </c>
      <c r="G202" s="2" t="inlineStr">
        <is>
          <t>FY25 TB.csv</t>
        </is>
      </c>
      <c r="H202" s="2" t="inlineStr">
        <is>
          <t>Prior Year</t>
        </is>
      </c>
    </row>
    <row r="203">
      <c r="A203" s="2" t="inlineStr">
        <is>
          <t>6362</t>
        </is>
      </c>
      <c r="B203" s="2" t="inlineStr">
        <is>
          <t>6362</t>
        </is>
      </c>
      <c r="C203" s="2" t="inlineStr">
        <is>
          <t>Utilities - Warehouse</t>
        </is>
      </c>
      <c r="D203" s="2" t="inlineStr">
        <is>
          <t>Operating Expenses</t>
        </is>
      </c>
      <c r="E203" s="2" t="inlineStr">
        <is>
          <t>Warehouse</t>
        </is>
      </c>
      <c r="F203" s="4" t="n">
        <v>22045</v>
      </c>
      <c r="G203" s="2" t="inlineStr">
        <is>
          <t>FY25 TB.csv</t>
        </is>
      </c>
      <c r="H203" s="2" t="inlineStr">
        <is>
          <t>Prior Year</t>
        </is>
      </c>
    </row>
    <row r="204">
      <c r="A204" s="2" t="inlineStr">
        <is>
          <t>6374</t>
        </is>
      </c>
      <c r="B204" s="2" t="inlineStr">
        <is>
          <t>6374</t>
        </is>
      </c>
      <c r="C204" s="2" t="inlineStr">
        <is>
          <t>Utilities - IT</t>
        </is>
      </c>
      <c r="D204" s="2" t="inlineStr">
        <is>
          <t>Operating Expenses</t>
        </is>
      </c>
      <c r="E204" s="2" t="inlineStr">
        <is>
          <t>IT</t>
        </is>
      </c>
      <c r="F204" s="4" t="n">
        <v>23335</v>
      </c>
      <c r="G204" s="2" t="inlineStr">
        <is>
          <t>FY25 TB.csv</t>
        </is>
      </c>
      <c r="H204" s="2" t="inlineStr">
        <is>
          <t>Prior Year</t>
        </is>
      </c>
    </row>
    <row r="205">
      <c r="A205" s="2" t="inlineStr">
        <is>
          <t>6384</t>
        </is>
      </c>
      <c r="B205" s="2" t="inlineStr">
        <is>
          <t>6384</t>
        </is>
      </c>
      <c r="C205" s="2" t="inlineStr">
        <is>
          <t>Repairs - Ops</t>
        </is>
      </c>
      <c r="D205" s="2" t="inlineStr">
        <is>
          <t>Operating Expenses</t>
        </is>
      </c>
      <c r="E205" s="2" t="inlineStr">
        <is>
          <t>Ops</t>
        </is>
      </c>
      <c r="F205" s="4" t="n">
        <v>35696</v>
      </c>
      <c r="G205" s="2" t="inlineStr">
        <is>
          <t>FY25 TB.csv</t>
        </is>
      </c>
      <c r="H205" s="2" t="inlineStr">
        <is>
          <t>Prior Year</t>
        </is>
      </c>
    </row>
    <row r="206">
      <c r="A206" s="2" t="inlineStr">
        <is>
          <t>6395</t>
        </is>
      </c>
      <c r="B206" s="2" t="inlineStr">
        <is>
          <t>6395</t>
        </is>
      </c>
      <c r="C206" s="2" t="inlineStr">
        <is>
          <t>Repairs - Admin</t>
        </is>
      </c>
      <c r="D206" s="2" t="inlineStr">
        <is>
          <t>Operating Expenses</t>
        </is>
      </c>
      <c r="E206" s="2" t="inlineStr">
        <is>
          <t>Admin</t>
        </is>
      </c>
      <c r="F206" s="4" t="n">
        <v>97861</v>
      </c>
      <c r="G206" s="2" t="inlineStr">
        <is>
          <t>FY25 TB.csv</t>
        </is>
      </c>
      <c r="H206" s="2" t="inlineStr">
        <is>
          <t>Prior Year</t>
        </is>
      </c>
    </row>
    <row r="207">
      <c r="A207" s="2" t="inlineStr">
        <is>
          <t>6405</t>
        </is>
      </c>
      <c r="B207" s="2" t="inlineStr">
        <is>
          <t>6405</t>
        </is>
      </c>
      <c r="C207" s="2" t="inlineStr">
        <is>
          <t>Professional Fees - Ops</t>
        </is>
      </c>
      <c r="D207" s="2" t="inlineStr">
        <is>
          <t>Operating Expenses</t>
        </is>
      </c>
      <c r="E207" s="2" t="inlineStr">
        <is>
          <t>Ops</t>
        </is>
      </c>
      <c r="F207" s="4" t="n">
        <v>120482</v>
      </c>
      <c r="G207" s="2" t="inlineStr">
        <is>
          <t>FY25 TB.csv</t>
        </is>
      </c>
      <c r="H207" s="2" t="inlineStr">
        <is>
          <t>Prior Year</t>
        </is>
      </c>
    </row>
    <row r="208">
      <c r="A208" s="2" t="inlineStr">
        <is>
          <t>6411</t>
        </is>
      </c>
      <c r="B208" s="2" t="inlineStr">
        <is>
          <t>6411</t>
        </is>
      </c>
      <c r="C208" s="2" t="inlineStr">
        <is>
          <t>Insurance - Admin</t>
        </is>
      </c>
      <c r="D208" s="2" t="inlineStr">
        <is>
          <t>Operating Expenses</t>
        </is>
      </c>
      <c r="E208" s="2" t="inlineStr">
        <is>
          <t>Admin</t>
        </is>
      </c>
      <c r="F208" s="4" t="n">
        <v>70014</v>
      </c>
      <c r="G208" s="2" t="inlineStr">
        <is>
          <t>FY25 TB.csv</t>
        </is>
      </c>
      <c r="H208" s="2" t="inlineStr">
        <is>
          <t>Prior Year</t>
        </is>
      </c>
    </row>
    <row r="209">
      <c r="A209" s="2" t="inlineStr">
        <is>
          <t>6423</t>
        </is>
      </c>
      <c r="B209" s="2" t="inlineStr">
        <is>
          <t>6423</t>
        </is>
      </c>
      <c r="C209" s="2" t="inlineStr">
        <is>
          <t>Office Supplies - Sales</t>
        </is>
      </c>
      <c r="D209" s="2" t="inlineStr">
        <is>
          <t>Operating Expenses</t>
        </is>
      </c>
      <c r="E209" s="2" t="inlineStr">
        <is>
          <t>Sales</t>
        </is>
      </c>
      <c r="F209" s="4" t="n">
        <v>116064</v>
      </c>
      <c r="G209" s="2" t="inlineStr">
        <is>
          <t>FY25 TB.csv</t>
        </is>
      </c>
      <c r="H209" s="2" t="inlineStr">
        <is>
          <t>Prior Year</t>
        </is>
      </c>
    </row>
    <row r="210">
      <c r="A210" s="2" t="inlineStr">
        <is>
          <t>6435</t>
        </is>
      </c>
      <c r="B210" s="2" t="inlineStr">
        <is>
          <t>6435</t>
        </is>
      </c>
      <c r="C210" s="2" t="inlineStr">
        <is>
          <t>Professional Fees - IT</t>
        </is>
      </c>
      <c r="D210" s="2" t="inlineStr">
        <is>
          <t>Operating Expenses</t>
        </is>
      </c>
      <c r="E210" s="2" t="inlineStr">
        <is>
          <t>IT</t>
        </is>
      </c>
      <c r="F210" s="4" t="n">
        <v>80149</v>
      </c>
      <c r="G210" s="2" t="inlineStr">
        <is>
          <t>FY25 TB.csv</t>
        </is>
      </c>
      <c r="H210" s="2" t="inlineStr">
        <is>
          <t>Prior Year</t>
        </is>
      </c>
    </row>
    <row r="211">
      <c r="A211" s="2" t="inlineStr">
        <is>
          <t>6442</t>
        </is>
      </c>
      <c r="B211" s="2" t="inlineStr">
        <is>
          <t>6442</t>
        </is>
      </c>
      <c r="C211" s="2" t="inlineStr">
        <is>
          <t>Rent - Ops</t>
        </is>
      </c>
      <c r="D211" s="2" t="inlineStr">
        <is>
          <t>Operating Expenses</t>
        </is>
      </c>
      <c r="E211" s="2" t="inlineStr">
        <is>
          <t>Ops</t>
        </is>
      </c>
      <c r="F211" s="4" t="n">
        <v>56611</v>
      </c>
      <c r="G211" s="2" t="inlineStr">
        <is>
          <t>FY25 TB.csv</t>
        </is>
      </c>
      <c r="H211" s="2" t="inlineStr">
        <is>
          <t>Prior Year</t>
        </is>
      </c>
    </row>
    <row r="212">
      <c r="A212" s="2" t="inlineStr">
        <is>
          <t>7003</t>
        </is>
      </c>
      <c r="B212" s="2" t="inlineStr">
        <is>
          <t>7003</t>
        </is>
      </c>
      <c r="C212" s="2" t="inlineStr">
        <is>
          <t>Bank Fees - Ops</t>
        </is>
      </c>
      <c r="D212" s="2" t="inlineStr">
        <is>
          <t>Other Expense</t>
        </is>
      </c>
      <c r="E212" s="2" t="inlineStr">
        <is>
          <t>Ops</t>
        </is>
      </c>
      <c r="F212" s="4" t="n">
        <v>37695</v>
      </c>
      <c r="G212" s="2" t="inlineStr">
        <is>
          <t>FY25 TB.csv</t>
        </is>
      </c>
      <c r="H212" s="2" t="inlineStr">
        <is>
          <t>Prior Year</t>
        </is>
      </c>
    </row>
    <row r="213">
      <c r="A213" s="2" t="inlineStr">
        <is>
          <t>7011</t>
        </is>
      </c>
      <c r="B213" s="2" t="inlineStr">
        <is>
          <t>7011</t>
        </is>
      </c>
      <c r="C213" s="2" t="inlineStr">
        <is>
          <t>Taxes and Licenses - Ops</t>
        </is>
      </c>
      <c r="D213" s="2" t="inlineStr">
        <is>
          <t>Other Expense</t>
        </is>
      </c>
      <c r="E213" s="2" t="inlineStr">
        <is>
          <t>Ops</t>
        </is>
      </c>
      <c r="F213" s="4" t="n">
        <v>12751</v>
      </c>
      <c r="G213" s="2" t="inlineStr">
        <is>
          <t>FY25 TB.csv</t>
        </is>
      </c>
      <c r="H213" s="2" t="inlineStr">
        <is>
          <t>Prior Year</t>
        </is>
      </c>
    </row>
    <row r="214">
      <c r="A214" s="2" t="inlineStr">
        <is>
          <t>7025</t>
        </is>
      </c>
      <c r="B214" s="2" t="inlineStr">
        <is>
          <t>7025</t>
        </is>
      </c>
      <c r="C214" s="2" t="inlineStr">
        <is>
          <t>Taxes and Licenses - Ops</t>
        </is>
      </c>
      <c r="D214" s="2" t="inlineStr">
        <is>
          <t>Other Expense</t>
        </is>
      </c>
      <c r="E214" s="2" t="inlineStr">
        <is>
          <t>Ops</t>
        </is>
      </c>
      <c r="F214" s="4" t="n">
        <v>17587</v>
      </c>
      <c r="G214" s="2" t="inlineStr">
        <is>
          <t>FY25 TB.csv</t>
        </is>
      </c>
      <c r="H214" s="2" t="inlineStr">
        <is>
          <t>Prior Year</t>
        </is>
      </c>
    </row>
    <row r="215">
      <c r="A215" s="2" t="inlineStr">
        <is>
          <t>7035</t>
        </is>
      </c>
      <c r="B215" s="2" t="inlineStr">
        <is>
          <t>7035</t>
        </is>
      </c>
      <c r="C215" s="2" t="inlineStr">
        <is>
          <t>Bank Fees - Ops</t>
        </is>
      </c>
      <c r="D215" s="2" t="inlineStr">
        <is>
          <t>Other Expense</t>
        </is>
      </c>
      <c r="E215" s="2" t="inlineStr">
        <is>
          <t>Ops</t>
        </is>
      </c>
      <c r="F215" s="4" t="n">
        <v>320961</v>
      </c>
      <c r="G215" s="2" t="inlineStr">
        <is>
          <t>FY25 TB.csv</t>
        </is>
      </c>
      <c r="H215" s="2" t="inlineStr">
        <is>
          <t>Prior Year</t>
        </is>
      </c>
    </row>
    <row r="216">
      <c r="A216" s="2" t="inlineStr">
        <is>
          <t>7043</t>
        </is>
      </c>
      <c r="B216" s="2" t="inlineStr">
        <is>
          <t>7043</t>
        </is>
      </c>
      <c r="C216" s="2" t="inlineStr">
        <is>
          <t>Bank Fees - Warehouse</t>
        </is>
      </c>
      <c r="D216" s="2" t="inlineStr">
        <is>
          <t>Other Expense</t>
        </is>
      </c>
      <c r="E216" s="2" t="inlineStr">
        <is>
          <t>Warehouse</t>
        </is>
      </c>
      <c r="F216" s="4" t="n">
        <v>44754</v>
      </c>
      <c r="G216" s="2" t="inlineStr">
        <is>
          <t>FY25 TB.csv</t>
        </is>
      </c>
      <c r="H216" s="2" t="inlineStr">
        <is>
          <t>Prior Year</t>
        </is>
      </c>
    </row>
    <row r="217">
      <c r="A217" s="2" t="inlineStr">
        <is>
          <t>7051</t>
        </is>
      </c>
      <c r="B217" s="2" t="inlineStr">
        <is>
          <t>7051</t>
        </is>
      </c>
      <c r="C217" s="2" t="inlineStr">
        <is>
          <t>Taxes and Licenses - IT</t>
        </is>
      </c>
      <c r="D217" s="2" t="inlineStr">
        <is>
          <t>Other Expense</t>
        </is>
      </c>
      <c r="E217" s="2" t="inlineStr">
        <is>
          <t>IT</t>
        </is>
      </c>
      <c r="F217" s="4" t="n">
        <v>190865</v>
      </c>
      <c r="G217" s="2" t="inlineStr">
        <is>
          <t>FY25 TB.csv</t>
        </is>
      </c>
      <c r="H217" s="2" t="inlineStr">
        <is>
          <t>Prior Year</t>
        </is>
      </c>
    </row>
    <row r="218">
      <c r="A218" s="2" t="inlineStr">
        <is>
          <t>7063</t>
        </is>
      </c>
      <c r="B218" s="2" t="inlineStr">
        <is>
          <t>7063</t>
        </is>
      </c>
      <c r="C218" s="2" t="inlineStr">
        <is>
          <t>Interest Expense - Ops</t>
        </is>
      </c>
      <c r="D218" s="2" t="inlineStr">
        <is>
          <t>Other Expense</t>
        </is>
      </c>
      <c r="E218" s="2" t="inlineStr">
        <is>
          <t>Ops</t>
        </is>
      </c>
      <c r="F218" s="4" t="n">
        <v>27715</v>
      </c>
      <c r="G218" s="2" t="inlineStr">
        <is>
          <t>FY25 TB.csv</t>
        </is>
      </c>
      <c r="H218" s="2" t="inlineStr">
        <is>
          <t>Prior Year</t>
        </is>
      </c>
    </row>
    <row r="219">
      <c r="A219" s="2" t="inlineStr">
        <is>
          <t>7072</t>
        </is>
      </c>
      <c r="B219" s="2" t="inlineStr">
        <is>
          <t>7072</t>
        </is>
      </c>
      <c r="C219" s="2" t="inlineStr">
        <is>
          <t>Taxes and Licenses - Corporate</t>
        </is>
      </c>
      <c r="D219" s="2" t="inlineStr">
        <is>
          <t>Other Expense</t>
        </is>
      </c>
      <c r="E219" s="2" t="inlineStr">
        <is>
          <t>Corporate</t>
        </is>
      </c>
      <c r="F219" s="4" t="n">
        <v>21880</v>
      </c>
      <c r="G219" s="2" t="inlineStr">
        <is>
          <t>FY25 TB.csv</t>
        </is>
      </c>
      <c r="H219" s="2" t="inlineStr">
        <is>
          <t>Prior Year</t>
        </is>
      </c>
    </row>
    <row r="220">
      <c r="A220" s="2" t="inlineStr">
        <is>
          <t>7081</t>
        </is>
      </c>
      <c r="B220" s="2" t="inlineStr">
        <is>
          <t>7081</t>
        </is>
      </c>
      <c r="C220" s="2" t="inlineStr">
        <is>
          <t>Taxes and Licenses - IT</t>
        </is>
      </c>
      <c r="D220" s="2" t="inlineStr">
        <is>
          <t>Other Expense</t>
        </is>
      </c>
      <c r="E220" s="2" t="inlineStr">
        <is>
          <t>IT</t>
        </is>
      </c>
      <c r="F220" s="4" t="n">
        <v>19284</v>
      </c>
      <c r="G220" s="2" t="inlineStr">
        <is>
          <t>FY25 TB.csv</t>
        </is>
      </c>
      <c r="H220" s="2" t="inlineStr">
        <is>
          <t>Prior Year</t>
        </is>
      </c>
    </row>
    <row r="221">
      <c r="A221" s="2" t="inlineStr">
        <is>
          <t>7094</t>
        </is>
      </c>
      <c r="B221" s="2" t="inlineStr">
        <is>
          <t>7094</t>
        </is>
      </c>
      <c r="C221" s="2" t="inlineStr">
        <is>
          <t>Interest Expense - IT</t>
        </is>
      </c>
      <c r="D221" s="2" t="inlineStr">
        <is>
          <t>Other Expense</t>
        </is>
      </c>
      <c r="E221" s="2" t="inlineStr">
        <is>
          <t>IT</t>
        </is>
      </c>
      <c r="F221" s="4" t="n">
        <v>32970</v>
      </c>
      <c r="G221" s="2" t="inlineStr">
        <is>
          <t>FY25 TB.csv</t>
        </is>
      </c>
      <c r="H221" s="2" t="inlineStr">
        <is>
          <t>Prior Year</t>
        </is>
      </c>
    </row>
    <row r="222">
      <c r="A222" s="2" t="inlineStr">
        <is>
          <t>7104</t>
        </is>
      </c>
      <c r="B222" s="2" t="inlineStr">
        <is>
          <t>7104</t>
        </is>
      </c>
      <c r="C222" s="2" t="inlineStr">
        <is>
          <t>Taxes and Licenses - IT</t>
        </is>
      </c>
      <c r="D222" s="2" t="inlineStr">
        <is>
          <t>Other Expense</t>
        </is>
      </c>
      <c r="E222" s="2" t="inlineStr">
        <is>
          <t>IT</t>
        </is>
      </c>
      <c r="F222" s="4" t="n">
        <v>242106</v>
      </c>
      <c r="G222" s="2" t="inlineStr">
        <is>
          <t>FY25 TB.csv</t>
        </is>
      </c>
      <c r="H222" s="2" t="inlineStr">
        <is>
          <t>Prior Year</t>
        </is>
      </c>
    </row>
    <row r="223">
      <c r="A223" s="2" t="inlineStr">
        <is>
          <t>7111</t>
        </is>
      </c>
      <c r="B223" s="2" t="inlineStr">
        <is>
          <t>7111</t>
        </is>
      </c>
      <c r="C223" s="2" t="inlineStr">
        <is>
          <t>Interest Expense - IT</t>
        </is>
      </c>
      <c r="D223" s="2" t="inlineStr">
        <is>
          <t>Other Expense</t>
        </is>
      </c>
      <c r="E223" s="2" t="inlineStr">
        <is>
          <t>IT</t>
        </is>
      </c>
      <c r="F223" s="4" t="n">
        <v>74154</v>
      </c>
      <c r="G223" s="2" t="inlineStr">
        <is>
          <t>FY25 TB.csv</t>
        </is>
      </c>
      <c r="H223" s="2" t="inlineStr">
        <is>
          <t>Prior Year</t>
        </is>
      </c>
    </row>
    <row r="224">
      <c r="A224" s="2" t="inlineStr">
        <is>
          <t>7124</t>
        </is>
      </c>
      <c r="B224" s="2" t="inlineStr">
        <is>
          <t>7124</t>
        </is>
      </c>
      <c r="C224" s="2" t="inlineStr">
        <is>
          <t>Bank Fees - Sales</t>
        </is>
      </c>
      <c r="D224" s="2" t="inlineStr">
        <is>
          <t>Other Expense</t>
        </is>
      </c>
      <c r="E224" s="2" t="inlineStr">
        <is>
          <t>Sales</t>
        </is>
      </c>
      <c r="F224" s="4" t="n">
        <v>20111</v>
      </c>
      <c r="G224" s="2" t="inlineStr">
        <is>
          <t>FY25 TB.csv</t>
        </is>
      </c>
      <c r="H224" s="2" t="inlineStr">
        <is>
          <t>Prior Year</t>
        </is>
      </c>
    </row>
    <row r="225">
      <c r="A225" s="2" t="inlineStr">
        <is>
          <t>7130</t>
        </is>
      </c>
      <c r="B225" s="2" t="inlineStr">
        <is>
          <t>7130</t>
        </is>
      </c>
      <c r="C225" s="2" t="inlineStr">
        <is>
          <t>Interest Expense - Ops</t>
        </is>
      </c>
      <c r="D225" s="2" t="inlineStr">
        <is>
          <t>Other Expense</t>
        </is>
      </c>
      <c r="E225" s="2" t="inlineStr">
        <is>
          <t>Ops</t>
        </is>
      </c>
      <c r="F225" s="4" t="n">
        <v>14952</v>
      </c>
      <c r="G225" s="2" t="inlineStr">
        <is>
          <t>FY25 TB.csv</t>
        </is>
      </c>
      <c r="H225" s="2" t="inlineStr">
        <is>
          <t>Prior Year</t>
        </is>
      </c>
    </row>
    <row r="226">
      <c r="A226" s="2" t="inlineStr">
        <is>
          <t>7140</t>
        </is>
      </c>
      <c r="B226" s="2" t="inlineStr">
        <is>
          <t>7140</t>
        </is>
      </c>
      <c r="C226" s="2" t="inlineStr">
        <is>
          <t>Miscellaneous Expense - Warehouse</t>
        </is>
      </c>
      <c r="D226" s="2" t="inlineStr">
        <is>
          <t>Other Expense</t>
        </is>
      </c>
      <c r="E226" s="2" t="inlineStr">
        <is>
          <t>Warehouse</t>
        </is>
      </c>
      <c r="F226" s="4" t="n">
        <v>21073</v>
      </c>
      <c r="G226" s="2" t="inlineStr">
        <is>
          <t>FY25 TB.csv</t>
        </is>
      </c>
      <c r="H226" s="2" t="inlineStr">
        <is>
          <t>Prior Year</t>
        </is>
      </c>
    </row>
    <row r="227">
      <c r="A227" s="2" t="inlineStr">
        <is>
          <t>7154</t>
        </is>
      </c>
      <c r="B227" s="2" t="inlineStr">
        <is>
          <t>7154</t>
        </is>
      </c>
      <c r="C227" s="2" t="inlineStr">
        <is>
          <t>Bank Fees - Sales</t>
        </is>
      </c>
      <c r="D227" s="2" t="inlineStr">
        <is>
          <t>Other Expense</t>
        </is>
      </c>
      <c r="E227" s="2" t="inlineStr">
        <is>
          <t>Sales</t>
        </is>
      </c>
      <c r="F227" s="4" t="n">
        <v>21745</v>
      </c>
      <c r="G227" s="2" t="inlineStr">
        <is>
          <t>FY25 TB.csv</t>
        </is>
      </c>
      <c r="H227" s="2" t="inlineStr">
        <is>
          <t>Prior Year</t>
        </is>
      </c>
    </row>
    <row r="228">
      <c r="A228" s="2" t="inlineStr">
        <is>
          <t>7164</t>
        </is>
      </c>
      <c r="B228" s="2" t="inlineStr">
        <is>
          <t>7164</t>
        </is>
      </c>
      <c r="C228" s="2" t="inlineStr">
        <is>
          <t>Taxes and Licenses - Warehouse</t>
        </is>
      </c>
      <c r="D228" s="2" t="inlineStr">
        <is>
          <t>Other Expense</t>
        </is>
      </c>
      <c r="E228" s="2" t="inlineStr">
        <is>
          <t>Warehouse</t>
        </is>
      </c>
      <c r="F228" s="4" t="n">
        <v>43936</v>
      </c>
      <c r="G228" s="2" t="inlineStr">
        <is>
          <t>FY25 TB.csv</t>
        </is>
      </c>
      <c r="H228" s="2" t="inlineStr">
        <is>
          <t>Prior Year</t>
        </is>
      </c>
    </row>
    <row r="229">
      <c r="A229" s="2" t="inlineStr">
        <is>
          <t>7175</t>
        </is>
      </c>
      <c r="B229" s="2" t="inlineStr">
        <is>
          <t>7175</t>
        </is>
      </c>
      <c r="C229" s="2" t="inlineStr">
        <is>
          <t>Taxes and Licenses - Sales</t>
        </is>
      </c>
      <c r="D229" s="2" t="inlineStr">
        <is>
          <t>Other Expense</t>
        </is>
      </c>
      <c r="E229" s="2" t="inlineStr">
        <is>
          <t>Sales</t>
        </is>
      </c>
      <c r="F229" s="4" t="n">
        <v>11523</v>
      </c>
      <c r="G229" s="2" t="inlineStr">
        <is>
          <t>FY25 TB.csv</t>
        </is>
      </c>
      <c r="H229" s="2" t="inlineStr">
        <is>
          <t>Prior Year</t>
        </is>
      </c>
    </row>
    <row r="230">
      <c r="A230" s="2" t="inlineStr">
        <is>
          <t>7185</t>
        </is>
      </c>
      <c r="B230" s="2" t="inlineStr">
        <is>
          <t>7185</t>
        </is>
      </c>
      <c r="C230" s="2" t="inlineStr">
        <is>
          <t>Miscellaneous Expense - Sales</t>
        </is>
      </c>
      <c r="D230" s="2" t="inlineStr">
        <is>
          <t>Other Expense</t>
        </is>
      </c>
      <c r="E230" s="2" t="inlineStr">
        <is>
          <t>Sales</t>
        </is>
      </c>
      <c r="F230" s="4" t="n">
        <v>317495</v>
      </c>
      <c r="G230" s="2" t="inlineStr">
        <is>
          <t>FY25 TB.csv</t>
        </is>
      </c>
      <c r="H230" s="2" t="inlineStr">
        <is>
          <t>Prior Year</t>
        </is>
      </c>
    </row>
    <row r="231">
      <c r="A231" s="2" t="inlineStr">
        <is>
          <t>7194</t>
        </is>
      </c>
      <c r="B231" s="2" t="inlineStr">
        <is>
          <t>7194</t>
        </is>
      </c>
      <c r="C231" s="2" t="inlineStr">
        <is>
          <t>Miscellaneous Expense - Ops</t>
        </is>
      </c>
      <c r="D231" s="2" t="inlineStr">
        <is>
          <t>Other Expense</t>
        </is>
      </c>
      <c r="E231" s="2" t="inlineStr">
        <is>
          <t>Ops</t>
        </is>
      </c>
      <c r="F231" s="4" t="n">
        <v>64996</v>
      </c>
      <c r="G231" s="2" t="inlineStr">
        <is>
          <t>FY25 TB.csv</t>
        </is>
      </c>
      <c r="H231" s="2" t="inlineStr">
        <is>
          <t>Prior Year</t>
        </is>
      </c>
    </row>
    <row r="232">
      <c r="A232" s="2" t="inlineStr">
        <is>
          <t>7204</t>
        </is>
      </c>
      <c r="B232" s="2" t="inlineStr">
        <is>
          <t>7204</t>
        </is>
      </c>
      <c r="C232" s="2" t="inlineStr">
        <is>
          <t>Bank Fees - Admin</t>
        </is>
      </c>
      <c r="D232" s="2" t="inlineStr">
        <is>
          <t>Other Expense</t>
        </is>
      </c>
      <c r="E232" s="2" t="inlineStr">
        <is>
          <t>Admin</t>
        </is>
      </c>
      <c r="F232" s="4" t="n">
        <v>10911</v>
      </c>
      <c r="G232" s="2" t="inlineStr">
        <is>
          <t>FY25 TB.csv</t>
        </is>
      </c>
      <c r="H232" s="2" t="inlineStr">
        <is>
          <t>Prior Year</t>
        </is>
      </c>
    </row>
    <row r="233">
      <c r="A233" s="2" t="inlineStr">
        <is>
          <t>7214</t>
        </is>
      </c>
      <c r="B233" s="2" t="inlineStr">
        <is>
          <t>7214</t>
        </is>
      </c>
      <c r="C233" s="2" t="inlineStr">
        <is>
          <t>Miscellaneous Expense - Warehouse</t>
        </is>
      </c>
      <c r="D233" s="2" t="inlineStr">
        <is>
          <t>Other Expense</t>
        </is>
      </c>
      <c r="E233" s="2" t="inlineStr">
        <is>
          <t>Warehouse</t>
        </is>
      </c>
      <c r="F233" s="4" t="n">
        <v>55908</v>
      </c>
      <c r="G233" s="2" t="inlineStr">
        <is>
          <t>FY25 TB.csv</t>
        </is>
      </c>
      <c r="H233" s="2" t="inlineStr">
        <is>
          <t>Prior Year</t>
        </is>
      </c>
    </row>
    <row r="234">
      <c r="A234" s="2" t="inlineStr">
        <is>
          <t>7223</t>
        </is>
      </c>
      <c r="B234" s="2" t="inlineStr">
        <is>
          <t>7223</t>
        </is>
      </c>
      <c r="C234" s="2" t="inlineStr">
        <is>
          <t>Taxes and Licenses - Corporate</t>
        </is>
      </c>
      <c r="D234" s="2" t="inlineStr">
        <is>
          <t>Other Expense</t>
        </is>
      </c>
      <c r="E234" s="2" t="inlineStr">
        <is>
          <t>Corporate</t>
        </is>
      </c>
      <c r="F234" s="4" t="n">
        <v>38704</v>
      </c>
      <c r="G234" s="2" t="inlineStr">
        <is>
          <t>FY25 TB.csv</t>
        </is>
      </c>
      <c r="H234" s="2" t="inlineStr">
        <is>
          <t>Prior Year</t>
        </is>
      </c>
    </row>
    <row r="235">
      <c r="A235" s="2" t="inlineStr">
        <is>
          <t>7233</t>
        </is>
      </c>
      <c r="B235" s="2" t="inlineStr">
        <is>
          <t>7233</t>
        </is>
      </c>
      <c r="C235" s="2" t="inlineStr">
        <is>
          <t>Taxes and Licenses - Warehouse</t>
        </is>
      </c>
      <c r="D235" s="2" t="inlineStr">
        <is>
          <t>Other Expense</t>
        </is>
      </c>
      <c r="E235" s="2" t="inlineStr">
        <is>
          <t>Warehouse</t>
        </is>
      </c>
      <c r="F235" s="4" t="n">
        <v>18022</v>
      </c>
      <c r="G235" s="2" t="inlineStr">
        <is>
          <t>FY25 TB.csv</t>
        </is>
      </c>
      <c r="H235" s="2" t="inlineStr">
        <is>
          <t>Prior Year</t>
        </is>
      </c>
    </row>
    <row r="236">
      <c r="A236" s="2" t="inlineStr">
        <is>
          <t>7245</t>
        </is>
      </c>
      <c r="B236" s="2" t="inlineStr">
        <is>
          <t>7245</t>
        </is>
      </c>
      <c r="C236" s="2" t="inlineStr">
        <is>
          <t>Taxes and Licenses - Sales</t>
        </is>
      </c>
      <c r="D236" s="2" t="inlineStr">
        <is>
          <t>Other Expense</t>
        </is>
      </c>
      <c r="E236" s="2" t="inlineStr">
        <is>
          <t>Sales</t>
        </is>
      </c>
      <c r="F236" s="4" t="n">
        <v>6620</v>
      </c>
      <c r="G236" s="2" t="inlineStr">
        <is>
          <t>FY25 TB.csv</t>
        </is>
      </c>
      <c r="H236" s="2" t="inlineStr">
        <is>
          <t>Prior Year</t>
        </is>
      </c>
    </row>
    <row r="237">
      <c r="A237" s="2" t="inlineStr">
        <is>
          <t>1030</t>
        </is>
      </c>
      <c r="B237" s="2" t="inlineStr">
        <is>
          <t>1030</t>
        </is>
      </c>
      <c r="C237" s="2" t="inlineStr">
        <is>
          <t>Cash - Corporate</t>
        </is>
      </c>
      <c r="D237" s="2" t="inlineStr">
        <is>
          <t>Assets</t>
        </is>
      </c>
      <c r="E237" s="2" t="inlineStr">
        <is>
          <t>Corporate</t>
        </is>
      </c>
      <c r="F237" s="4" t="n">
        <v>185000</v>
      </c>
      <c r="G237" s="2" t="inlineStr">
        <is>
          <t>FY25 TB.csv</t>
        </is>
      </c>
      <c r="H237" s="2" t="inlineStr">
        <is>
          <t>Prior Year</t>
        </is>
      </c>
    </row>
    <row r="238">
      <c r="A238" s="2" t="inlineStr">
        <is>
          <t>1210</t>
        </is>
      </c>
      <c r="B238" s="2" t="inlineStr">
        <is>
          <t>1210</t>
        </is>
      </c>
      <c r="C238" s="2" t="inlineStr">
        <is>
          <t>Accounts Receivable - Sales</t>
        </is>
      </c>
      <c r="D238" s="2" t="inlineStr">
        <is>
          <t>Assets</t>
        </is>
      </c>
      <c r="E238" s="2" t="inlineStr">
        <is>
          <t>Sales</t>
        </is>
      </c>
      <c r="F238" s="4" t="n">
        <v>310000</v>
      </c>
      <c r="G238" s="2" t="inlineStr">
        <is>
          <t>FY25 TB.csv</t>
        </is>
      </c>
      <c r="H238" s="2" t="inlineStr">
        <is>
          <t>Prior Year</t>
        </is>
      </c>
    </row>
    <row r="239">
      <c r="A239" s="2" t="inlineStr">
        <is>
          <t>1420</t>
        </is>
      </c>
      <c r="B239" s="2" t="inlineStr">
        <is>
          <t>1420</t>
        </is>
      </c>
      <c r="C239" s="2" t="inlineStr">
        <is>
          <t>Inventory - Warehouse</t>
        </is>
      </c>
      <c r="D239" s="2" t="inlineStr">
        <is>
          <t>Assets</t>
        </is>
      </c>
      <c r="E239" s="2" t="inlineStr">
        <is>
          <t>Warehouse</t>
        </is>
      </c>
      <c r="F239" s="4" t="n">
        <v>480000</v>
      </c>
      <c r="G239" s="2" t="inlineStr">
        <is>
          <t>FY25 TB.csv</t>
        </is>
      </c>
      <c r="H239" s="2" t="inlineStr">
        <is>
          <t>Prior Year</t>
        </is>
      </c>
    </row>
    <row r="240">
      <c r="A240" s="2" t="inlineStr">
        <is>
          <t>2110</t>
        </is>
      </c>
      <c r="B240" s="2" t="inlineStr">
        <is>
          <t>2110</t>
        </is>
      </c>
      <c r="C240" s="2" t="inlineStr">
        <is>
          <t>Accounts Payable - Ops</t>
        </is>
      </c>
      <c r="D240" s="2" t="inlineStr">
        <is>
          <t>Liabilities</t>
        </is>
      </c>
      <c r="E240" s="2" t="inlineStr">
        <is>
          <t>Ops</t>
        </is>
      </c>
      <c r="F240" s="4" t="n">
        <v>-225000</v>
      </c>
      <c r="G240" s="2" t="inlineStr">
        <is>
          <t>FY25 TB.csv</t>
        </is>
      </c>
      <c r="H240" s="2" t="inlineStr">
        <is>
          <t>Prior Year</t>
        </is>
      </c>
    </row>
    <row r="241">
      <c r="A241" s="2" t="inlineStr">
        <is>
          <t>2360</t>
        </is>
      </c>
      <c r="B241" s="2" t="inlineStr">
        <is>
          <t>2360</t>
        </is>
      </c>
      <c r="C241" s="2" t="inlineStr">
        <is>
          <t>Deferred Revenue - Sales</t>
        </is>
      </c>
      <c r="D241" s="2" t="inlineStr">
        <is>
          <t>Liabilities</t>
        </is>
      </c>
      <c r="E241" s="2" t="inlineStr">
        <is>
          <t>Sales</t>
        </is>
      </c>
      <c r="F241" s="4" t="n">
        <v>-90000</v>
      </c>
      <c r="G241" s="2" t="inlineStr">
        <is>
          <t>FY25 TB.csv</t>
        </is>
      </c>
      <c r="H241" s="2" t="inlineStr">
        <is>
          <t>Prior Year</t>
        </is>
      </c>
    </row>
    <row r="242">
      <c r="A242" s="2" t="inlineStr">
        <is>
          <t>4010</t>
        </is>
      </c>
      <c r="B242" s="2" t="inlineStr">
        <is>
          <t>4010</t>
        </is>
      </c>
      <c r="C242" s="2" t="inlineStr">
        <is>
          <t>Product Revenue - Sales</t>
        </is>
      </c>
      <c r="D242" s="2" t="inlineStr">
        <is>
          <t>Revenue</t>
        </is>
      </c>
      <c r="E242" s="2" t="inlineStr">
        <is>
          <t>Sales</t>
        </is>
      </c>
      <c r="F242" s="4" t="n">
        <v>-1250000</v>
      </c>
      <c r="G242" s="2" t="inlineStr">
        <is>
          <t>FY25 TB.csv</t>
        </is>
      </c>
      <c r="H242" s="2" t="inlineStr">
        <is>
          <t>Prior Year</t>
        </is>
      </c>
    </row>
    <row r="243">
      <c r="A243" s="2" t="inlineStr">
        <is>
          <t>4120</t>
        </is>
      </c>
      <c r="B243" s="2" t="inlineStr">
        <is>
          <t>4120</t>
        </is>
      </c>
      <c r="C243" s="2" t="inlineStr">
        <is>
          <t>Returns and Allowances - Sales</t>
        </is>
      </c>
      <c r="D243" s="2" t="inlineStr">
        <is>
          <t>Revenue</t>
        </is>
      </c>
      <c r="E243" s="2" t="inlineStr">
        <is>
          <t>Sales</t>
        </is>
      </c>
      <c r="F243" s="4" t="n">
        <v>45000</v>
      </c>
      <c r="G243" s="2" t="inlineStr">
        <is>
          <t>FY25 TB.csv</t>
        </is>
      </c>
      <c r="H243" s="2" t="inlineStr">
        <is>
          <t>Prior Year</t>
        </is>
      </c>
    </row>
    <row r="244">
      <c r="A244" s="2" t="inlineStr">
        <is>
          <t>5220</t>
        </is>
      </c>
      <c r="B244" s="2" t="inlineStr">
        <is>
          <t>5220</t>
        </is>
      </c>
      <c r="C244" s="2" t="inlineStr">
        <is>
          <t>Freight In - Warehouse</t>
        </is>
      </c>
      <c r="D244" s="2" t="inlineStr">
        <is>
          <t>COGS</t>
        </is>
      </c>
      <c r="E244" s="2" t="inlineStr">
        <is>
          <t>Warehouse</t>
        </is>
      </c>
      <c r="F244" s="4" t="n">
        <v>76000</v>
      </c>
      <c r="G244" s="2" t="inlineStr">
        <is>
          <t>FY25 TB.csv</t>
        </is>
      </c>
      <c r="H244" s="2" t="inlineStr">
        <is>
          <t>Prior Year</t>
        </is>
      </c>
    </row>
    <row r="245">
      <c r="A245" s="2" t="inlineStr">
        <is>
          <t>6120</t>
        </is>
      </c>
      <c r="B245" s="2" t="inlineStr">
        <is>
          <t>6120</t>
        </is>
      </c>
      <c r="C245" s="2" t="inlineStr">
        <is>
          <t>Professional Fees - Corporate</t>
        </is>
      </c>
      <c r="D245" s="2" t="inlineStr">
        <is>
          <t>Operating Expenses</t>
        </is>
      </c>
      <c r="E245" s="2" t="inlineStr">
        <is>
          <t>Corporate</t>
        </is>
      </c>
      <c r="F245" s="4" t="n">
        <v>64000</v>
      </c>
      <c r="G245" s="2" t="inlineStr">
        <is>
          <t>FY25 TB.csv</t>
        </is>
      </c>
      <c r="H245" s="2" t="inlineStr">
        <is>
          <t>Prior Year</t>
        </is>
      </c>
    </row>
    <row r="246">
      <c r="A246" s="2" t="inlineStr">
        <is>
          <t>6330</t>
        </is>
      </c>
      <c r="B246" s="2" t="inlineStr">
        <is>
          <t>6330</t>
        </is>
      </c>
      <c r="C246" s="2" t="inlineStr">
        <is>
          <t>Software - IT</t>
        </is>
      </c>
      <c r="D246" s="2" t="inlineStr">
        <is>
          <t>Operating Expenses</t>
        </is>
      </c>
      <c r="E246" s="2" t="inlineStr">
        <is>
          <t>IT</t>
        </is>
      </c>
      <c r="F246" s="4" t="n">
        <v>41000</v>
      </c>
      <c r="G246" s="2" t="inlineStr">
        <is>
          <t>FY25 TB.csv</t>
        </is>
      </c>
      <c r="H246" s="2" t="inlineStr">
        <is>
          <t>Prior Year</t>
        </is>
      </c>
    </row>
    <row r="247">
      <c r="A247" s="2" t="inlineStr">
        <is>
          <t>6420</t>
        </is>
      </c>
      <c r="B247" s="2" t="inlineStr">
        <is>
          <t>6420</t>
        </is>
      </c>
      <c r="C247" s="2" t="inlineStr">
        <is>
          <t>Travel - Sales</t>
        </is>
      </c>
      <c r="D247" s="2" t="inlineStr">
        <is>
          <t>Operating Expenses</t>
        </is>
      </c>
      <c r="E247" s="2" t="inlineStr">
        <is>
          <t>Sales</t>
        </is>
      </c>
      <c r="F247" s="4" t="n">
        <v>18000</v>
      </c>
      <c r="G247" s="2" t="inlineStr">
        <is>
          <t>FY25 TB.csv</t>
        </is>
      </c>
      <c r="H247" s="2" t="inlineStr">
        <is>
          <t>Prior Year</t>
        </is>
      </c>
    </row>
    <row r="248">
      <c r="A248" s="2" t="inlineStr">
        <is>
          <t>7110</t>
        </is>
      </c>
      <c r="B248" s="2" t="inlineStr">
        <is>
          <t>7110</t>
        </is>
      </c>
      <c r="C248" s="2" t="inlineStr">
        <is>
          <t>Interest Expense - Corporate</t>
        </is>
      </c>
      <c r="D248" s="2" t="inlineStr">
        <is>
          <t>Other Expense</t>
        </is>
      </c>
      <c r="E248" s="2" t="inlineStr">
        <is>
          <t>Corporate</t>
        </is>
      </c>
      <c r="F248" s="4" t="n">
        <v>22000</v>
      </c>
      <c r="G248" s="2" t="inlineStr">
        <is>
          <t>FY25 TB.csv</t>
        </is>
      </c>
      <c r="H248" s="2" t="inlineStr">
        <is>
          <t>Prior Year</t>
        </is>
      </c>
    </row>
  </sheetData>
  <autoFilter ref="A1:H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2" customWidth="1" min="1" max="1"/>
    <col width="16" customWidth="1" min="2" max="2"/>
    <col width="38" customWidth="1" min="3" max="3"/>
    <col width="18" customWidth="1" min="4" max="4"/>
    <col width="12" customWidth="1" min="5" max="5"/>
    <col width="12" customWidth="1" min="6" max="6"/>
    <col width="13" customWidth="1" min="7" max="7"/>
    <col width="14" customWidth="1" min="8" max="8"/>
  </cols>
  <sheetData>
    <row r="1">
      <c r="A1" s="1" t="inlineStr">
        <is>
          <t>match_key</t>
        </is>
      </c>
      <c r="B1" s="1" t="inlineStr">
        <is>
          <t>Account Number</t>
        </is>
      </c>
      <c r="C1" s="1" t="inlineStr">
        <is>
          <t>Account Name</t>
        </is>
      </c>
      <c r="D1" s="1" t="inlineStr">
        <is>
          <t>Account Category</t>
        </is>
      </c>
      <c r="E1" s="1" t="inlineStr">
        <is>
          <t>Department</t>
        </is>
      </c>
      <c r="F1" s="1" t="inlineStr">
        <is>
          <t>Balance</t>
        </is>
      </c>
      <c r="G1" s="1" t="inlineStr">
        <is>
          <t>Source File</t>
        </is>
      </c>
      <c r="H1" s="1" t="inlineStr">
        <is>
          <t>Source Year</t>
        </is>
      </c>
    </row>
    <row r="2">
      <c r="A2" s="2" t="inlineStr">
        <is>
          <t>1000</t>
        </is>
      </c>
      <c r="B2" s="2" t="inlineStr">
        <is>
          <t>1000</t>
        </is>
      </c>
      <c r="C2" s="2" t="inlineStr">
        <is>
          <t>Accumulated Depreciation - Admin</t>
        </is>
      </c>
      <c r="D2" s="2" t="inlineStr">
        <is>
          <t>Assets</t>
        </is>
      </c>
      <c r="E2" s="2" t="inlineStr">
        <is>
          <t>Admin</t>
        </is>
      </c>
      <c r="F2" s="4" t="n">
        <v>-78173</v>
      </c>
      <c r="G2" s="2" t="inlineStr">
        <is>
          <t>FY26 TB.csv</t>
        </is>
      </c>
      <c r="H2" s="2" t="inlineStr">
        <is>
          <t>Current Year</t>
        </is>
      </c>
    </row>
    <row r="3">
      <c r="A3" s="2" t="inlineStr">
        <is>
          <t>1010</t>
        </is>
      </c>
      <c r="B3" s="2" t="inlineStr">
        <is>
          <t>1010</t>
        </is>
      </c>
      <c r="C3" s="2" t="inlineStr">
        <is>
          <t>Fixed Assets - IT</t>
        </is>
      </c>
      <c r="D3" s="2" t="inlineStr">
        <is>
          <t>Assets</t>
        </is>
      </c>
      <c r="E3" s="2" t="inlineStr">
        <is>
          <t>IT</t>
        </is>
      </c>
      <c r="F3" s="4" t="n">
        <v>29855</v>
      </c>
      <c r="G3" s="2" t="inlineStr">
        <is>
          <t>FY26 TB.csv</t>
        </is>
      </c>
      <c r="H3" s="2" t="inlineStr">
        <is>
          <t>Current Year</t>
        </is>
      </c>
    </row>
    <row r="4">
      <c r="A4" s="2" t="inlineStr">
        <is>
          <t>1021</t>
        </is>
      </c>
      <c r="B4" s="2" t="inlineStr">
        <is>
          <t>1021</t>
        </is>
      </c>
      <c r="C4" s="2" t="inlineStr">
        <is>
          <t>Fixed Assets - IT</t>
        </is>
      </c>
      <c r="D4" s="2" t="inlineStr">
        <is>
          <t>Assets</t>
        </is>
      </c>
      <c r="E4" s="2" t="inlineStr">
        <is>
          <t>IT</t>
        </is>
      </c>
      <c r="F4" s="4" t="n">
        <v>28902</v>
      </c>
      <c r="G4" s="2" t="inlineStr">
        <is>
          <t>FY26 TB.csv</t>
        </is>
      </c>
      <c r="H4" s="2" t="inlineStr">
        <is>
          <t>Current Year</t>
        </is>
      </c>
    </row>
    <row r="5">
      <c r="A5" s="2" t="inlineStr">
        <is>
          <t>1031</t>
        </is>
      </c>
      <c r="B5" s="2" t="inlineStr">
        <is>
          <t>1031</t>
        </is>
      </c>
      <c r="C5" s="2" t="inlineStr">
        <is>
          <t>Inventory - Ops</t>
        </is>
      </c>
      <c r="D5" s="2" t="inlineStr">
        <is>
          <t>Assets</t>
        </is>
      </c>
      <c r="E5" s="2" t="inlineStr">
        <is>
          <t>Ops</t>
        </is>
      </c>
      <c r="F5" s="4" t="n">
        <v>160013</v>
      </c>
      <c r="G5" s="2" t="inlineStr">
        <is>
          <t>FY26 TB.csv</t>
        </is>
      </c>
      <c r="H5" s="2" t="inlineStr">
        <is>
          <t>Current Year</t>
        </is>
      </c>
    </row>
    <row r="6">
      <c r="A6" s="2" t="inlineStr">
        <is>
          <t>1043</t>
        </is>
      </c>
      <c r="B6" s="2" t="inlineStr">
        <is>
          <t>1043</t>
        </is>
      </c>
      <c r="C6" s="2" t="inlineStr">
        <is>
          <t>Cash - Corporate</t>
        </is>
      </c>
      <c r="D6" s="2" t="inlineStr">
        <is>
          <t>Assets</t>
        </is>
      </c>
      <c r="E6" s="2" t="inlineStr">
        <is>
          <t>Corporate</t>
        </is>
      </c>
      <c r="F6" s="4" t="n">
        <v>365140</v>
      </c>
      <c r="G6" s="2" t="inlineStr">
        <is>
          <t>FY26 TB.csv</t>
        </is>
      </c>
      <c r="H6" s="2" t="inlineStr">
        <is>
          <t>Current Year</t>
        </is>
      </c>
    </row>
    <row r="7">
      <c r="A7" s="2" t="inlineStr">
        <is>
          <t>1052</t>
        </is>
      </c>
      <c r="B7" s="2" t="inlineStr">
        <is>
          <t>1052</t>
        </is>
      </c>
      <c r="C7" s="2" t="inlineStr">
        <is>
          <t>Accumulated Depreciation - Warehouse</t>
        </is>
      </c>
      <c r="D7" s="2" t="inlineStr">
        <is>
          <t>Assets</t>
        </is>
      </c>
      <c r="E7" s="2" t="inlineStr">
        <is>
          <t>Warehouse</t>
        </is>
      </c>
      <c r="F7" s="4" t="n">
        <v>-51123</v>
      </c>
      <c r="G7" s="2" t="inlineStr">
        <is>
          <t>FY26 TB.csv</t>
        </is>
      </c>
      <c r="H7" s="2" t="inlineStr">
        <is>
          <t>Current Year</t>
        </is>
      </c>
    </row>
    <row r="8">
      <c r="A8" s="2" t="inlineStr">
        <is>
          <t>1061</t>
        </is>
      </c>
      <c r="B8" s="2" t="inlineStr">
        <is>
          <t>1061</t>
        </is>
      </c>
      <c r="C8" s="2" t="inlineStr">
        <is>
          <t>Inventory - Admin</t>
        </is>
      </c>
      <c r="D8" s="2" t="inlineStr">
        <is>
          <t>Assets</t>
        </is>
      </c>
      <c r="E8" s="2" t="inlineStr">
        <is>
          <t>Admin</t>
        </is>
      </c>
      <c r="F8" s="4" t="n">
        <v>99460</v>
      </c>
      <c r="G8" s="2" t="inlineStr">
        <is>
          <t>FY26 TB.csv</t>
        </is>
      </c>
      <c r="H8" s="2" t="inlineStr">
        <is>
          <t>Current Year</t>
        </is>
      </c>
    </row>
    <row r="9">
      <c r="A9" s="2" t="inlineStr">
        <is>
          <t>1072</t>
        </is>
      </c>
      <c r="B9" s="2" t="inlineStr">
        <is>
          <t>1072</t>
        </is>
      </c>
      <c r="C9" s="2" t="inlineStr">
        <is>
          <t>Accounts Receivable - Sales</t>
        </is>
      </c>
      <c r="D9" s="2" t="inlineStr">
        <is>
          <t>Assets</t>
        </is>
      </c>
      <c r="E9" s="2" t="inlineStr">
        <is>
          <t>Sales</t>
        </is>
      </c>
      <c r="F9" s="4" t="n">
        <v>20621</v>
      </c>
      <c r="G9" s="2" t="inlineStr">
        <is>
          <t>FY26 TB.csv</t>
        </is>
      </c>
      <c r="H9" s="2" t="inlineStr">
        <is>
          <t>Current Year</t>
        </is>
      </c>
    </row>
    <row r="10">
      <c r="A10" s="2" t="inlineStr">
        <is>
          <t>1081</t>
        </is>
      </c>
      <c r="B10" s="2" t="inlineStr">
        <is>
          <t>1081</t>
        </is>
      </c>
      <c r="C10" s="2" t="inlineStr">
        <is>
          <t>Accumulated Depreciation - Ops</t>
        </is>
      </c>
      <c r="D10" s="2" t="inlineStr">
        <is>
          <t>Assets</t>
        </is>
      </c>
      <c r="E10" s="2" t="inlineStr">
        <is>
          <t>Ops</t>
        </is>
      </c>
      <c r="F10" s="4" t="n">
        <v>-31634</v>
      </c>
      <c r="G10" s="2" t="inlineStr">
        <is>
          <t>FY26 TB.csv</t>
        </is>
      </c>
      <c r="H10" s="2" t="inlineStr">
        <is>
          <t>Current Year</t>
        </is>
      </c>
    </row>
    <row r="11">
      <c r="A11" s="2" t="inlineStr">
        <is>
          <t>1090</t>
        </is>
      </c>
      <c r="B11" s="2" t="inlineStr">
        <is>
          <t>1090</t>
        </is>
      </c>
      <c r="C11" s="2" t="inlineStr">
        <is>
          <t>Cash - Ops</t>
        </is>
      </c>
      <c r="D11" s="2" t="inlineStr">
        <is>
          <t>Assets</t>
        </is>
      </c>
      <c r="E11" s="2" t="inlineStr">
        <is>
          <t>Ops</t>
        </is>
      </c>
      <c r="F11" s="4" t="n">
        <v>100381</v>
      </c>
      <c r="G11" s="2" t="inlineStr">
        <is>
          <t>FY26 TB.csv</t>
        </is>
      </c>
      <c r="H11" s="2" t="inlineStr">
        <is>
          <t>Current Year</t>
        </is>
      </c>
    </row>
    <row r="12">
      <c r="A12" s="2" t="inlineStr">
        <is>
          <t>1103</t>
        </is>
      </c>
      <c r="B12" s="2" t="inlineStr">
        <is>
          <t>1103</t>
        </is>
      </c>
      <c r="C12" s="2" t="inlineStr">
        <is>
          <t>Accounts Receivable - Corporate</t>
        </is>
      </c>
      <c r="D12" s="2" t="inlineStr">
        <is>
          <t>Assets</t>
        </is>
      </c>
      <c r="E12" s="2" t="inlineStr">
        <is>
          <t>Corporate</t>
        </is>
      </c>
      <c r="F12" s="4" t="n">
        <v>4748</v>
      </c>
      <c r="G12" s="2" t="inlineStr">
        <is>
          <t>FY26 TB.csv</t>
        </is>
      </c>
      <c r="H12" s="2" t="inlineStr">
        <is>
          <t>Current Year</t>
        </is>
      </c>
    </row>
    <row r="13">
      <c r="A13" s="2" t="inlineStr">
        <is>
          <t>1114</t>
        </is>
      </c>
      <c r="B13" s="2" t="inlineStr">
        <is>
          <t>1114</t>
        </is>
      </c>
      <c r="C13" s="2" t="inlineStr">
        <is>
          <t>Accounts Receivable - Corporate</t>
        </is>
      </c>
      <c r="D13" s="2" t="inlineStr">
        <is>
          <t>Assets</t>
        </is>
      </c>
      <c r="E13" s="2" t="inlineStr">
        <is>
          <t>Corporate</t>
        </is>
      </c>
      <c r="F13" s="4" t="n">
        <v>48576</v>
      </c>
      <c r="G13" s="2" t="inlineStr">
        <is>
          <t>FY26 TB.csv</t>
        </is>
      </c>
      <c r="H13" s="2" t="inlineStr">
        <is>
          <t>Current Year</t>
        </is>
      </c>
    </row>
    <row r="14">
      <c r="A14" s="2" t="inlineStr">
        <is>
          <t>1121</t>
        </is>
      </c>
      <c r="B14" s="2" t="inlineStr">
        <is>
          <t>1121</t>
        </is>
      </c>
      <c r="C14" s="2" t="inlineStr">
        <is>
          <t>Inventory - Ops</t>
        </is>
      </c>
      <c r="D14" s="2" t="inlineStr">
        <is>
          <t>Assets</t>
        </is>
      </c>
      <c r="E14" s="2" t="inlineStr">
        <is>
          <t>Ops</t>
        </is>
      </c>
      <c r="F14" s="4" t="n">
        <v>46931</v>
      </c>
      <c r="G14" s="2" t="inlineStr">
        <is>
          <t>FY26 TB.csv</t>
        </is>
      </c>
      <c r="H14" s="2" t="inlineStr">
        <is>
          <t>Current Year</t>
        </is>
      </c>
    </row>
    <row r="15">
      <c r="A15" s="2" t="inlineStr">
        <is>
          <t>1130</t>
        </is>
      </c>
      <c r="B15" s="2" t="inlineStr">
        <is>
          <t>1130</t>
        </is>
      </c>
      <c r="C15" s="2" t="inlineStr">
        <is>
          <t>Prepaid Expense - Warehouse</t>
        </is>
      </c>
      <c r="D15" s="2" t="inlineStr">
        <is>
          <t>Assets</t>
        </is>
      </c>
      <c r="E15" s="2" t="inlineStr">
        <is>
          <t>Warehouse</t>
        </is>
      </c>
      <c r="F15" s="4" t="n">
        <v>23754</v>
      </c>
      <c r="G15" s="2" t="inlineStr">
        <is>
          <t>FY26 TB.csv</t>
        </is>
      </c>
      <c r="H15" s="2" t="inlineStr">
        <is>
          <t>Current Year</t>
        </is>
      </c>
    </row>
    <row r="16">
      <c r="A16" s="2" t="inlineStr">
        <is>
          <t>1145</t>
        </is>
      </c>
      <c r="B16" s="2" t="inlineStr">
        <is>
          <t>1145</t>
        </is>
      </c>
      <c r="C16" s="2" t="inlineStr">
        <is>
          <t>Fixed Assets - Admin</t>
        </is>
      </c>
      <c r="D16" s="2" t="inlineStr">
        <is>
          <t>Assets</t>
        </is>
      </c>
      <c r="E16" s="2" t="inlineStr">
        <is>
          <t>Admin</t>
        </is>
      </c>
      <c r="F16" s="4" t="n">
        <v>130735</v>
      </c>
      <c r="G16" s="2" t="inlineStr">
        <is>
          <t>FY26 TB.csv</t>
        </is>
      </c>
      <c r="H16" s="2" t="inlineStr">
        <is>
          <t>Current Year</t>
        </is>
      </c>
    </row>
    <row r="17">
      <c r="A17" s="2" t="inlineStr">
        <is>
          <t>1150</t>
        </is>
      </c>
      <c r="B17" s="2" t="inlineStr">
        <is>
          <t>1150</t>
        </is>
      </c>
      <c r="C17" s="2" t="inlineStr">
        <is>
          <t>Accumulated Depreciation - Sales</t>
        </is>
      </c>
      <c r="D17" s="2" t="inlineStr">
        <is>
          <t>Assets</t>
        </is>
      </c>
      <c r="E17" s="2" t="inlineStr">
        <is>
          <t>Sales</t>
        </is>
      </c>
      <c r="F17" s="4" t="n">
        <v>-29666</v>
      </c>
      <c r="G17" s="2" t="inlineStr">
        <is>
          <t>FY26 TB.csv</t>
        </is>
      </c>
      <c r="H17" s="2" t="inlineStr">
        <is>
          <t>Current Year</t>
        </is>
      </c>
    </row>
    <row r="18">
      <c r="A18" s="2" t="inlineStr">
        <is>
          <t>1162</t>
        </is>
      </c>
      <c r="B18" s="2" t="inlineStr">
        <is>
          <t>1162</t>
        </is>
      </c>
      <c r="C18" s="2" t="inlineStr">
        <is>
          <t>Cash - Corporate</t>
        </is>
      </c>
      <c r="D18" s="2" t="inlineStr">
        <is>
          <t>Assets</t>
        </is>
      </c>
      <c r="E18" s="2" t="inlineStr">
        <is>
          <t>Corporate</t>
        </is>
      </c>
      <c r="F18" s="4" t="n">
        <v>111254</v>
      </c>
      <c r="G18" s="2" t="inlineStr">
        <is>
          <t>FY26 TB.csv</t>
        </is>
      </c>
      <c r="H18" s="2" t="inlineStr">
        <is>
          <t>Current Year</t>
        </is>
      </c>
    </row>
    <row r="19">
      <c r="A19" s="2" t="inlineStr">
        <is>
          <t>1174</t>
        </is>
      </c>
      <c r="B19" s="2" t="inlineStr">
        <is>
          <t>1174</t>
        </is>
      </c>
      <c r="C19" s="2" t="inlineStr">
        <is>
          <t>Accounts Receivable - Warehouse</t>
        </is>
      </c>
      <c r="D19" s="2" t="inlineStr">
        <is>
          <t>Assets</t>
        </is>
      </c>
      <c r="E19" s="2" t="inlineStr">
        <is>
          <t>Warehouse</t>
        </is>
      </c>
      <c r="F19" s="4" t="n">
        <v>234077</v>
      </c>
      <c r="G19" s="2" t="inlineStr">
        <is>
          <t>FY26 TB.csv</t>
        </is>
      </c>
      <c r="H19" s="2" t="inlineStr">
        <is>
          <t>Current Year</t>
        </is>
      </c>
    </row>
    <row r="20">
      <c r="A20" s="2" t="inlineStr">
        <is>
          <t>1181</t>
        </is>
      </c>
      <c r="B20" s="2" t="inlineStr">
        <is>
          <t>1181</t>
        </is>
      </c>
      <c r="C20" s="2" t="inlineStr">
        <is>
          <t>Inventory - Sales</t>
        </is>
      </c>
      <c r="D20" s="2" t="inlineStr">
        <is>
          <t>Assets</t>
        </is>
      </c>
      <c r="E20" s="2" t="inlineStr">
        <is>
          <t>Sales</t>
        </is>
      </c>
      <c r="F20" s="4" t="n">
        <v>50383</v>
      </c>
      <c r="G20" s="2" t="inlineStr">
        <is>
          <t>FY26 TB.csv</t>
        </is>
      </c>
      <c r="H20" s="2" t="inlineStr">
        <is>
          <t>Current Year</t>
        </is>
      </c>
    </row>
    <row r="21">
      <c r="A21" s="2" t="inlineStr">
        <is>
          <t>1193</t>
        </is>
      </c>
      <c r="B21" s="2" t="inlineStr">
        <is>
          <t>1193</t>
        </is>
      </c>
      <c r="C21" s="2" t="inlineStr">
        <is>
          <t>Accounts Receivable - Corporate</t>
        </is>
      </c>
      <c r="D21" s="2" t="inlineStr">
        <is>
          <t>Assets</t>
        </is>
      </c>
      <c r="E21" s="2" t="inlineStr">
        <is>
          <t>Corporate</t>
        </is>
      </c>
      <c r="F21" s="4" t="n">
        <v>54665</v>
      </c>
      <c r="G21" s="2" t="inlineStr">
        <is>
          <t>FY26 TB.csv</t>
        </is>
      </c>
      <c r="H21" s="2" t="inlineStr">
        <is>
          <t>Current Year</t>
        </is>
      </c>
    </row>
    <row r="22">
      <c r="A22" s="2" t="inlineStr">
        <is>
          <t>1203</t>
        </is>
      </c>
      <c r="B22" s="2" t="inlineStr">
        <is>
          <t>1203</t>
        </is>
      </c>
      <c r="C22" s="2" t="inlineStr">
        <is>
          <t>Accumulated Depreciation - Sales</t>
        </is>
      </c>
      <c r="D22" s="2" t="inlineStr">
        <is>
          <t>Assets</t>
        </is>
      </c>
      <c r="E22" s="2" t="inlineStr">
        <is>
          <t>Sales</t>
        </is>
      </c>
      <c r="F22" s="4" t="n">
        <v>-27073</v>
      </c>
      <c r="G22" s="2" t="inlineStr">
        <is>
          <t>FY26 TB.csv</t>
        </is>
      </c>
      <c r="H22" s="2" t="inlineStr">
        <is>
          <t>Current Year</t>
        </is>
      </c>
    </row>
    <row r="23">
      <c r="A23" s="2" t="inlineStr">
        <is>
          <t>1214</t>
        </is>
      </c>
      <c r="B23" s="2" t="inlineStr">
        <is>
          <t>1214</t>
        </is>
      </c>
      <c r="C23" s="2" t="inlineStr">
        <is>
          <t>Inventory - Admin</t>
        </is>
      </c>
      <c r="D23" s="2" t="inlineStr">
        <is>
          <t>Assets</t>
        </is>
      </c>
      <c r="E23" s="2" t="inlineStr">
        <is>
          <t>Admin</t>
        </is>
      </c>
      <c r="F23" s="4" t="n">
        <v>39280</v>
      </c>
      <c r="G23" s="2" t="inlineStr">
        <is>
          <t>FY26 TB.csv</t>
        </is>
      </c>
      <c r="H23" s="2" t="inlineStr">
        <is>
          <t>Current Year</t>
        </is>
      </c>
    </row>
    <row r="24">
      <c r="A24" s="2" t="inlineStr">
        <is>
          <t>1222</t>
        </is>
      </c>
      <c r="B24" s="2" t="inlineStr">
        <is>
          <t>1222</t>
        </is>
      </c>
      <c r="C24" s="2" t="inlineStr">
        <is>
          <t>Fixed Assets - Ops</t>
        </is>
      </c>
      <c r="D24" s="2" t="inlineStr">
        <is>
          <t>Assets</t>
        </is>
      </c>
      <c r="E24" s="2" t="inlineStr">
        <is>
          <t>Ops</t>
        </is>
      </c>
      <c r="F24" s="4" t="n">
        <v>58905</v>
      </c>
      <c r="G24" s="2" t="inlineStr">
        <is>
          <t>FY26 TB.csv</t>
        </is>
      </c>
      <c r="H24" s="2" t="inlineStr">
        <is>
          <t>Current Year</t>
        </is>
      </c>
    </row>
    <row r="25">
      <c r="A25" s="2" t="inlineStr">
        <is>
          <t>1231</t>
        </is>
      </c>
      <c r="B25" s="2" t="inlineStr">
        <is>
          <t>1231</t>
        </is>
      </c>
      <c r="C25" s="2" t="inlineStr">
        <is>
          <t>Prepaid Expense - IT</t>
        </is>
      </c>
      <c r="D25" s="2" t="inlineStr">
        <is>
          <t>Assets</t>
        </is>
      </c>
      <c r="E25" s="2" t="inlineStr">
        <is>
          <t>IT</t>
        </is>
      </c>
      <c r="F25" s="4" t="n">
        <v>4735</v>
      </c>
      <c r="G25" s="2" t="inlineStr">
        <is>
          <t>FY26 TB.csv</t>
        </is>
      </c>
      <c r="H25" s="2" t="inlineStr">
        <is>
          <t>Current Year</t>
        </is>
      </c>
    </row>
    <row r="26">
      <c r="A26" s="2" t="inlineStr">
        <is>
          <t>1245</t>
        </is>
      </c>
      <c r="B26" s="2" t="inlineStr">
        <is>
          <t>1245</t>
        </is>
      </c>
      <c r="C26" s="2" t="inlineStr">
        <is>
          <t>Accumulated Depreciation - Admin</t>
        </is>
      </c>
      <c r="D26" s="2" t="inlineStr">
        <is>
          <t>Assets</t>
        </is>
      </c>
      <c r="E26" s="2" t="inlineStr">
        <is>
          <t>Admin</t>
        </is>
      </c>
      <c r="F26" s="4" t="n">
        <v>-90501</v>
      </c>
      <c r="G26" s="2" t="inlineStr">
        <is>
          <t>FY26 TB.csv</t>
        </is>
      </c>
      <c r="H26" s="2" t="inlineStr">
        <is>
          <t>Current Year</t>
        </is>
      </c>
    </row>
    <row r="27">
      <c r="A27" s="2" t="inlineStr">
        <is>
          <t>2004</t>
        </is>
      </c>
      <c r="B27" s="2" t="inlineStr">
        <is>
          <t>2004</t>
        </is>
      </c>
      <c r="C27" s="2" t="inlineStr">
        <is>
          <t>Accrued Expense - Ops</t>
        </is>
      </c>
      <c r="D27" s="2" t="inlineStr">
        <is>
          <t>Liabilities</t>
        </is>
      </c>
      <c r="E27" s="2" t="inlineStr">
        <is>
          <t>Ops</t>
        </is>
      </c>
      <c r="F27" s="4" t="n">
        <v>-30832</v>
      </c>
      <c r="G27" s="2" t="inlineStr">
        <is>
          <t>FY26 TB.csv</t>
        </is>
      </c>
      <c r="H27" s="2" t="inlineStr">
        <is>
          <t>Current Year</t>
        </is>
      </c>
    </row>
    <row r="28">
      <c r="A28" s="2" t="inlineStr">
        <is>
          <t>2014</t>
        </is>
      </c>
      <c r="B28" s="2" t="inlineStr">
        <is>
          <t>2014</t>
        </is>
      </c>
      <c r="C28" s="2" t="inlineStr">
        <is>
          <t>Accounts Payable - IT</t>
        </is>
      </c>
      <c r="D28" s="2" t="inlineStr">
        <is>
          <t>Liabilities</t>
        </is>
      </c>
      <c r="E28" s="2" t="inlineStr">
        <is>
          <t>IT</t>
        </is>
      </c>
      <c r="F28" s="4" t="n">
        <v>-5463</v>
      </c>
      <c r="G28" s="2" t="inlineStr">
        <is>
          <t>FY26 TB.csv</t>
        </is>
      </c>
      <c r="H28" s="2" t="inlineStr">
        <is>
          <t>Current Year</t>
        </is>
      </c>
    </row>
    <row r="29">
      <c r="A29" s="2" t="inlineStr">
        <is>
          <t>2021</t>
        </is>
      </c>
      <c r="B29" s="2" t="inlineStr">
        <is>
          <t>2021</t>
        </is>
      </c>
      <c r="C29" s="2" t="inlineStr">
        <is>
          <t>Accounts Payable - Ops</t>
        </is>
      </c>
      <c r="D29" s="2" t="inlineStr">
        <is>
          <t>Liabilities</t>
        </is>
      </c>
      <c r="E29" s="2" t="inlineStr">
        <is>
          <t>Ops</t>
        </is>
      </c>
      <c r="F29" s="4" t="n">
        <v>-16508</v>
      </c>
      <c r="G29" s="2" t="inlineStr">
        <is>
          <t>FY26 TB.csv</t>
        </is>
      </c>
      <c r="H29" s="2" t="inlineStr">
        <is>
          <t>Current Year</t>
        </is>
      </c>
    </row>
    <row r="30">
      <c r="A30" s="2" t="inlineStr">
        <is>
          <t>2033</t>
        </is>
      </c>
      <c r="B30" s="2" t="inlineStr">
        <is>
          <t>2033</t>
        </is>
      </c>
      <c r="C30" s="2" t="inlineStr">
        <is>
          <t>Notes Payable - Sales</t>
        </is>
      </c>
      <c r="D30" s="2" t="inlineStr">
        <is>
          <t>Liabilities</t>
        </is>
      </c>
      <c r="E30" s="2" t="inlineStr">
        <is>
          <t>Sales</t>
        </is>
      </c>
      <c r="F30" s="4" t="n">
        <v>-169941</v>
      </c>
      <c r="G30" s="2" t="inlineStr">
        <is>
          <t>FY26 TB.csv</t>
        </is>
      </c>
      <c r="H30" s="2" t="inlineStr">
        <is>
          <t>Current Year</t>
        </is>
      </c>
    </row>
    <row r="31">
      <c r="A31" s="2" t="inlineStr">
        <is>
          <t>2041</t>
        </is>
      </c>
      <c r="B31" s="2" t="inlineStr">
        <is>
          <t>2041</t>
        </is>
      </c>
      <c r="C31" s="2" t="inlineStr">
        <is>
          <t>Notes Payable - Ops</t>
        </is>
      </c>
      <c r="D31" s="2" t="inlineStr">
        <is>
          <t>Liabilities</t>
        </is>
      </c>
      <c r="E31" s="2" t="inlineStr">
        <is>
          <t>Ops</t>
        </is>
      </c>
      <c r="F31" s="4" t="n">
        <v>-56737</v>
      </c>
      <c r="G31" s="2" t="inlineStr">
        <is>
          <t>FY26 TB.csv</t>
        </is>
      </c>
      <c r="H31" s="2" t="inlineStr">
        <is>
          <t>Current Year</t>
        </is>
      </c>
    </row>
    <row r="32">
      <c r="A32" s="2" t="inlineStr">
        <is>
          <t>2054</t>
        </is>
      </c>
      <c r="B32" s="2" t="inlineStr">
        <is>
          <t>2054</t>
        </is>
      </c>
      <c r="C32" s="2" t="inlineStr">
        <is>
          <t>Payroll Liabilities - IT</t>
        </is>
      </c>
      <c r="D32" s="2" t="inlineStr">
        <is>
          <t>Liabilities</t>
        </is>
      </c>
      <c r="E32" s="2" t="inlineStr">
        <is>
          <t>IT</t>
        </is>
      </c>
      <c r="F32" s="4" t="n">
        <v>-135103</v>
      </c>
      <c r="G32" s="2" t="inlineStr">
        <is>
          <t>FY26 TB.csv</t>
        </is>
      </c>
      <c r="H32" s="2" t="inlineStr">
        <is>
          <t>Current Year</t>
        </is>
      </c>
    </row>
    <row r="33">
      <c r="A33" s="2" t="inlineStr">
        <is>
          <t>2064</t>
        </is>
      </c>
      <c r="B33" s="2" t="inlineStr">
        <is>
          <t>2064</t>
        </is>
      </c>
      <c r="C33" s="2" t="inlineStr">
        <is>
          <t>Accrued Expense - Admin</t>
        </is>
      </c>
      <c r="D33" s="2" t="inlineStr">
        <is>
          <t>Liabilities</t>
        </is>
      </c>
      <c r="E33" s="2" t="inlineStr">
        <is>
          <t>Admin</t>
        </is>
      </c>
      <c r="F33" s="4" t="n">
        <v>-2433</v>
      </c>
      <c r="G33" s="2" t="inlineStr">
        <is>
          <t>FY26 TB.csv</t>
        </is>
      </c>
      <c r="H33" s="2" t="inlineStr">
        <is>
          <t>Current Year</t>
        </is>
      </c>
    </row>
    <row r="34">
      <c r="A34" s="2" t="inlineStr">
        <is>
          <t>2070</t>
        </is>
      </c>
      <c r="B34" s="2" t="inlineStr">
        <is>
          <t>2070</t>
        </is>
      </c>
      <c r="C34" s="2" t="inlineStr">
        <is>
          <t>Accounts Payable - Warehouse</t>
        </is>
      </c>
      <c r="D34" s="2" t="inlineStr">
        <is>
          <t>Liabilities</t>
        </is>
      </c>
      <c r="E34" s="2" t="inlineStr">
        <is>
          <t>Warehouse</t>
        </is>
      </c>
      <c r="F34" s="4" t="n">
        <v>-30922</v>
      </c>
      <c r="G34" s="2" t="inlineStr">
        <is>
          <t>FY26 TB.csv</t>
        </is>
      </c>
      <c r="H34" s="2" t="inlineStr">
        <is>
          <t>Current Year</t>
        </is>
      </c>
    </row>
    <row r="35">
      <c r="A35" s="2" t="inlineStr">
        <is>
          <t>2085</t>
        </is>
      </c>
      <c r="B35" s="2" t="inlineStr">
        <is>
          <t>2085</t>
        </is>
      </c>
      <c r="C35" s="2" t="inlineStr">
        <is>
          <t>Accrued Expense - Corporate</t>
        </is>
      </c>
      <c r="D35" s="2" t="inlineStr">
        <is>
          <t>Liabilities</t>
        </is>
      </c>
      <c r="E35" s="2" t="inlineStr">
        <is>
          <t>Corporate</t>
        </is>
      </c>
      <c r="F35" s="4" t="n">
        <v>-17845</v>
      </c>
      <c r="G35" s="2" t="inlineStr">
        <is>
          <t>FY26 TB.csv</t>
        </is>
      </c>
      <c r="H35" s="2" t="inlineStr">
        <is>
          <t>Current Year</t>
        </is>
      </c>
    </row>
    <row r="36">
      <c r="A36" s="2" t="inlineStr">
        <is>
          <t>2090</t>
        </is>
      </c>
      <c r="B36" s="2" t="inlineStr">
        <is>
          <t>2090</t>
        </is>
      </c>
      <c r="C36" s="2" t="inlineStr">
        <is>
          <t>Notes Payable - Sales</t>
        </is>
      </c>
      <c r="D36" s="2" t="inlineStr">
        <is>
          <t>Liabilities</t>
        </is>
      </c>
      <c r="E36" s="2" t="inlineStr">
        <is>
          <t>Sales</t>
        </is>
      </c>
      <c r="F36" s="4" t="n">
        <v>-45188</v>
      </c>
      <c r="G36" s="2" t="inlineStr">
        <is>
          <t>FY26 TB.csv</t>
        </is>
      </c>
      <c r="H36" s="2" t="inlineStr">
        <is>
          <t>Current Year</t>
        </is>
      </c>
    </row>
    <row r="37">
      <c r="A37" s="2" t="inlineStr">
        <is>
          <t>2100</t>
        </is>
      </c>
      <c r="B37" s="2" t="inlineStr">
        <is>
          <t>2100</t>
        </is>
      </c>
      <c r="C37" s="2" t="inlineStr">
        <is>
          <t>Accrued Expense - Sales</t>
        </is>
      </c>
      <c r="D37" s="2" t="inlineStr">
        <is>
          <t>Liabilities</t>
        </is>
      </c>
      <c r="E37" s="2" t="inlineStr">
        <is>
          <t>Sales</t>
        </is>
      </c>
      <c r="F37" s="4" t="n">
        <v>-126577</v>
      </c>
      <c r="G37" s="2" t="inlineStr">
        <is>
          <t>FY26 TB.csv</t>
        </is>
      </c>
      <c r="H37" s="2" t="inlineStr">
        <is>
          <t>Current Year</t>
        </is>
      </c>
    </row>
    <row r="38">
      <c r="A38" s="2" t="inlineStr">
        <is>
          <t>2115</t>
        </is>
      </c>
      <c r="B38" s="2" t="inlineStr">
        <is>
          <t>2115</t>
        </is>
      </c>
      <c r="C38" s="2" t="inlineStr">
        <is>
          <t>Payroll Liabilities - Admin</t>
        </is>
      </c>
      <c r="D38" s="2" t="inlineStr">
        <is>
          <t>Liabilities</t>
        </is>
      </c>
      <c r="E38" s="2" t="inlineStr">
        <is>
          <t>Admin</t>
        </is>
      </c>
      <c r="F38" s="4" t="n">
        <v>-63816</v>
      </c>
      <c r="G38" s="2" t="inlineStr">
        <is>
          <t>FY26 TB.csv</t>
        </is>
      </c>
      <c r="H38" s="2" t="inlineStr">
        <is>
          <t>Current Year</t>
        </is>
      </c>
    </row>
    <row r="39">
      <c r="A39" s="2" t="inlineStr">
        <is>
          <t>2124</t>
        </is>
      </c>
      <c r="B39" s="2" t="inlineStr">
        <is>
          <t>2124</t>
        </is>
      </c>
      <c r="C39" s="2" t="inlineStr">
        <is>
          <t>Deferred Revenue - Sales</t>
        </is>
      </c>
      <c r="D39" s="2" t="inlineStr">
        <is>
          <t>Liabilities</t>
        </is>
      </c>
      <c r="E39" s="2" t="inlineStr">
        <is>
          <t>Sales</t>
        </is>
      </c>
      <c r="F39" s="4" t="n">
        <v>-25142</v>
      </c>
      <c r="G39" s="2" t="inlineStr">
        <is>
          <t>FY26 TB.csv</t>
        </is>
      </c>
      <c r="H39" s="2" t="inlineStr">
        <is>
          <t>Current Year</t>
        </is>
      </c>
    </row>
    <row r="40">
      <c r="A40" s="2" t="inlineStr">
        <is>
          <t>2132</t>
        </is>
      </c>
      <c r="B40" s="2" t="inlineStr">
        <is>
          <t>2132</t>
        </is>
      </c>
      <c r="C40" s="2" t="inlineStr">
        <is>
          <t>Payroll Liabilities - IT</t>
        </is>
      </c>
      <c r="D40" s="2" t="inlineStr">
        <is>
          <t>Liabilities</t>
        </is>
      </c>
      <c r="E40" s="2" t="inlineStr">
        <is>
          <t>IT</t>
        </is>
      </c>
      <c r="F40" s="4" t="n">
        <v>-14146</v>
      </c>
      <c r="G40" s="2" t="inlineStr">
        <is>
          <t>FY26 TB.csv</t>
        </is>
      </c>
      <c r="H40" s="2" t="inlineStr">
        <is>
          <t>Current Year</t>
        </is>
      </c>
    </row>
    <row r="41">
      <c r="A41" s="2" t="inlineStr">
        <is>
          <t>2145</t>
        </is>
      </c>
      <c r="B41" s="2" t="inlineStr">
        <is>
          <t>2145</t>
        </is>
      </c>
      <c r="C41" s="2" t="inlineStr">
        <is>
          <t>Deferred Revenue - Ops</t>
        </is>
      </c>
      <c r="D41" s="2" t="inlineStr">
        <is>
          <t>Liabilities</t>
        </is>
      </c>
      <c r="E41" s="2" t="inlineStr">
        <is>
          <t>Ops</t>
        </is>
      </c>
      <c r="F41" s="4" t="n">
        <v>-28492</v>
      </c>
      <c r="G41" s="2" t="inlineStr">
        <is>
          <t>FY26 TB.csv</t>
        </is>
      </c>
      <c r="H41" s="2" t="inlineStr">
        <is>
          <t>Current Year</t>
        </is>
      </c>
    </row>
    <row r="42">
      <c r="A42" s="2" t="inlineStr">
        <is>
          <t>2150</t>
        </is>
      </c>
      <c r="B42" s="2" t="inlineStr">
        <is>
          <t>2150</t>
        </is>
      </c>
      <c r="C42" s="2" t="inlineStr">
        <is>
          <t>Accrued Expense - Warehouse</t>
        </is>
      </c>
      <c r="D42" s="2" t="inlineStr">
        <is>
          <t>Liabilities</t>
        </is>
      </c>
      <c r="E42" s="2" t="inlineStr">
        <is>
          <t>Warehouse</t>
        </is>
      </c>
      <c r="F42" s="4" t="n">
        <v>-137220</v>
      </c>
      <c r="G42" s="2" t="inlineStr">
        <is>
          <t>FY26 TB.csv</t>
        </is>
      </c>
      <c r="H42" s="2" t="inlineStr">
        <is>
          <t>Current Year</t>
        </is>
      </c>
    </row>
    <row r="43">
      <c r="A43" s="2" t="inlineStr">
        <is>
          <t>2160</t>
        </is>
      </c>
      <c r="B43" s="2" t="inlineStr">
        <is>
          <t>2160</t>
        </is>
      </c>
      <c r="C43" s="2" t="inlineStr">
        <is>
          <t>Deferred Revenue - Sales</t>
        </is>
      </c>
      <c r="D43" s="2" t="inlineStr">
        <is>
          <t>Liabilities</t>
        </is>
      </c>
      <c r="E43" s="2" t="inlineStr">
        <is>
          <t>Sales</t>
        </is>
      </c>
      <c r="F43" s="4" t="n">
        <v>-85832</v>
      </c>
      <c r="G43" s="2" t="inlineStr">
        <is>
          <t>FY26 TB.csv</t>
        </is>
      </c>
      <c r="H43" s="2" t="inlineStr">
        <is>
          <t>Current Year</t>
        </is>
      </c>
    </row>
    <row r="44">
      <c r="A44" s="2" t="inlineStr">
        <is>
          <t>2174</t>
        </is>
      </c>
      <c r="B44" s="2" t="inlineStr">
        <is>
          <t>2174</t>
        </is>
      </c>
      <c r="C44" s="2" t="inlineStr">
        <is>
          <t>Payroll Liabilities - IT</t>
        </is>
      </c>
      <c r="D44" s="2" t="inlineStr">
        <is>
          <t>Liabilities</t>
        </is>
      </c>
      <c r="E44" s="2" t="inlineStr">
        <is>
          <t>IT</t>
        </is>
      </c>
      <c r="F44" s="4" t="n">
        <v>-25256</v>
      </c>
      <c r="G44" s="2" t="inlineStr">
        <is>
          <t>FY26 TB.csv</t>
        </is>
      </c>
      <c r="H44" s="2" t="inlineStr">
        <is>
          <t>Current Year</t>
        </is>
      </c>
    </row>
    <row r="45">
      <c r="A45" s="2" t="inlineStr">
        <is>
          <t>2181</t>
        </is>
      </c>
      <c r="B45" s="2" t="inlineStr">
        <is>
          <t>2181</t>
        </is>
      </c>
      <c r="C45" s="2" t="inlineStr">
        <is>
          <t>Notes Payable - Admin</t>
        </is>
      </c>
      <c r="D45" s="2" t="inlineStr">
        <is>
          <t>Liabilities</t>
        </is>
      </c>
      <c r="E45" s="2" t="inlineStr">
        <is>
          <t>Admin</t>
        </is>
      </c>
      <c r="F45" s="4" t="n">
        <v>-49434</v>
      </c>
      <c r="G45" s="2" t="inlineStr">
        <is>
          <t>FY26 TB.csv</t>
        </is>
      </c>
      <c r="H45" s="2" t="inlineStr">
        <is>
          <t>Current Year</t>
        </is>
      </c>
    </row>
    <row r="46">
      <c r="A46" s="2" t="inlineStr">
        <is>
          <t>2190</t>
        </is>
      </c>
      <c r="B46" s="2" t="inlineStr">
        <is>
          <t>2190</t>
        </is>
      </c>
      <c r="C46" s="2" t="inlineStr">
        <is>
          <t>Accounts Payable - IT</t>
        </is>
      </c>
      <c r="D46" s="2" t="inlineStr">
        <is>
          <t>Liabilities</t>
        </is>
      </c>
      <c r="E46" s="2" t="inlineStr">
        <is>
          <t>IT</t>
        </is>
      </c>
      <c r="F46" s="4" t="n">
        <v>-101030</v>
      </c>
      <c r="G46" s="2" t="inlineStr">
        <is>
          <t>FY26 TB.csv</t>
        </is>
      </c>
      <c r="H46" s="2" t="inlineStr">
        <is>
          <t>Current Year</t>
        </is>
      </c>
    </row>
    <row r="47">
      <c r="A47" s="2" t="inlineStr">
        <is>
          <t>2201</t>
        </is>
      </c>
      <c r="B47" s="2" t="inlineStr">
        <is>
          <t>2201</t>
        </is>
      </c>
      <c r="C47" s="2" t="inlineStr">
        <is>
          <t>Deferred Revenue - Ops</t>
        </is>
      </c>
      <c r="D47" s="2" t="inlineStr">
        <is>
          <t>Liabilities</t>
        </is>
      </c>
      <c r="E47" s="2" t="inlineStr">
        <is>
          <t>Ops</t>
        </is>
      </c>
      <c r="F47" s="4" t="n">
        <v>-5297</v>
      </c>
      <c r="G47" s="2" t="inlineStr">
        <is>
          <t>FY26 TB.csv</t>
        </is>
      </c>
      <c r="H47" s="2" t="inlineStr">
        <is>
          <t>Current Year</t>
        </is>
      </c>
    </row>
    <row r="48">
      <c r="A48" s="2" t="inlineStr">
        <is>
          <t>2215</t>
        </is>
      </c>
      <c r="B48" s="2" t="inlineStr">
        <is>
          <t>2215</t>
        </is>
      </c>
      <c r="C48" s="2" t="inlineStr">
        <is>
          <t>Payroll Liabilities - IT</t>
        </is>
      </c>
      <c r="D48" s="2" t="inlineStr">
        <is>
          <t>Liabilities</t>
        </is>
      </c>
      <c r="E48" s="2" t="inlineStr">
        <is>
          <t>IT</t>
        </is>
      </c>
      <c r="F48" s="4" t="n">
        <v>-92648</v>
      </c>
      <c r="G48" s="2" t="inlineStr">
        <is>
          <t>FY26 TB.csv</t>
        </is>
      </c>
      <c r="H48" s="2" t="inlineStr">
        <is>
          <t>Current Year</t>
        </is>
      </c>
    </row>
    <row r="49">
      <c r="A49" s="2" t="inlineStr">
        <is>
          <t>2224</t>
        </is>
      </c>
      <c r="B49" s="2" t="inlineStr">
        <is>
          <t>2224</t>
        </is>
      </c>
      <c r="C49" s="2" t="inlineStr">
        <is>
          <t>Deferred Revenue - IT</t>
        </is>
      </c>
      <c r="D49" s="2" t="inlineStr">
        <is>
          <t>Liabilities</t>
        </is>
      </c>
      <c r="E49" s="2" t="inlineStr">
        <is>
          <t>IT</t>
        </is>
      </c>
      <c r="F49" s="4" t="n">
        <v>-70299</v>
      </c>
      <c r="G49" s="2" t="inlineStr">
        <is>
          <t>FY26 TB.csv</t>
        </is>
      </c>
      <c r="H49" s="2" t="inlineStr">
        <is>
          <t>Current Year</t>
        </is>
      </c>
    </row>
    <row r="50">
      <c r="A50" s="2" t="inlineStr">
        <is>
          <t>2235</t>
        </is>
      </c>
      <c r="B50" s="2" t="inlineStr">
        <is>
          <t>2235</t>
        </is>
      </c>
      <c r="C50" s="2" t="inlineStr">
        <is>
          <t>Payroll Liabilities - Warehouse</t>
        </is>
      </c>
      <c r="D50" s="2" t="inlineStr">
        <is>
          <t>Liabilities</t>
        </is>
      </c>
      <c r="E50" s="2" t="inlineStr">
        <is>
          <t>Warehouse</t>
        </is>
      </c>
      <c r="F50" s="4" t="n">
        <v>-181621</v>
      </c>
      <c r="G50" s="2" t="inlineStr">
        <is>
          <t>FY26 TB.csv</t>
        </is>
      </c>
      <c r="H50" s="2" t="inlineStr">
        <is>
          <t>Current Year</t>
        </is>
      </c>
    </row>
    <row r="51">
      <c r="A51" s="2" t="inlineStr">
        <is>
          <t>2242</t>
        </is>
      </c>
      <c r="B51" s="2" t="inlineStr">
        <is>
          <t>2242</t>
        </is>
      </c>
      <c r="C51" s="2" t="inlineStr">
        <is>
          <t>Accounts Payable - Corporate</t>
        </is>
      </c>
      <c r="D51" s="2" t="inlineStr">
        <is>
          <t>Liabilities</t>
        </is>
      </c>
      <c r="E51" s="2" t="inlineStr">
        <is>
          <t>Corporate</t>
        </is>
      </c>
      <c r="F51" s="4" t="n">
        <v>-73918</v>
      </c>
      <c r="G51" s="2" t="inlineStr">
        <is>
          <t>FY26 TB.csv</t>
        </is>
      </c>
      <c r="H51" s="2" t="inlineStr">
        <is>
          <t>Current Year</t>
        </is>
      </c>
    </row>
    <row r="52">
      <c r="A52" s="2" t="inlineStr">
        <is>
          <t>3005</t>
        </is>
      </c>
      <c r="B52" s="2" t="inlineStr">
        <is>
          <t>3005</t>
        </is>
      </c>
      <c r="C52" s="2" t="inlineStr">
        <is>
          <t>Distributions - IT</t>
        </is>
      </c>
      <c r="D52" s="2" t="inlineStr">
        <is>
          <t>Equity</t>
        </is>
      </c>
      <c r="E52" s="2" t="inlineStr">
        <is>
          <t>IT</t>
        </is>
      </c>
      <c r="F52" s="4" t="n">
        <v>-162350</v>
      </c>
      <c r="G52" s="2" t="inlineStr">
        <is>
          <t>FY26 TB.csv</t>
        </is>
      </c>
      <c r="H52" s="2" t="inlineStr">
        <is>
          <t>Current Year</t>
        </is>
      </c>
    </row>
    <row r="53">
      <c r="A53" s="2" t="inlineStr">
        <is>
          <t>3014</t>
        </is>
      </c>
      <c r="B53" s="2" t="inlineStr">
        <is>
          <t>3014</t>
        </is>
      </c>
      <c r="C53" s="2" t="inlineStr">
        <is>
          <t>Retained Earnings - Warehouse</t>
        </is>
      </c>
      <c r="D53" s="2" t="inlineStr">
        <is>
          <t>Equity</t>
        </is>
      </c>
      <c r="E53" s="2" t="inlineStr">
        <is>
          <t>Warehouse</t>
        </is>
      </c>
      <c r="F53" s="4" t="n">
        <v>-17548</v>
      </c>
      <c r="G53" s="2" t="inlineStr">
        <is>
          <t>FY26 TB.csv</t>
        </is>
      </c>
      <c r="H53" s="2" t="inlineStr">
        <is>
          <t>Current Year</t>
        </is>
      </c>
    </row>
    <row r="54">
      <c r="A54" s="2" t="inlineStr">
        <is>
          <t>3023</t>
        </is>
      </c>
      <c r="B54" s="2" t="inlineStr">
        <is>
          <t>3023</t>
        </is>
      </c>
      <c r="C54" s="2" t="inlineStr">
        <is>
          <t>Distributions - IT</t>
        </is>
      </c>
      <c r="D54" s="2" t="inlineStr">
        <is>
          <t>Equity</t>
        </is>
      </c>
      <c r="E54" s="2" t="inlineStr">
        <is>
          <t>IT</t>
        </is>
      </c>
      <c r="F54" s="4" t="n">
        <v>-31889</v>
      </c>
      <c r="G54" s="2" t="inlineStr">
        <is>
          <t>FY26 TB.csv</t>
        </is>
      </c>
      <c r="H54" s="2" t="inlineStr">
        <is>
          <t>Current Year</t>
        </is>
      </c>
    </row>
    <row r="55">
      <c r="A55" s="2" t="inlineStr">
        <is>
          <t>3030</t>
        </is>
      </c>
      <c r="B55" s="2" t="inlineStr">
        <is>
          <t>3030</t>
        </is>
      </c>
      <c r="C55" s="2" t="inlineStr">
        <is>
          <t>Retained Earnings - Corporate</t>
        </is>
      </c>
      <c r="D55" s="2" t="inlineStr">
        <is>
          <t>Equity</t>
        </is>
      </c>
      <c r="E55" s="2" t="inlineStr">
        <is>
          <t>Corporate</t>
        </is>
      </c>
      <c r="F55" s="4" t="n">
        <v>-13500</v>
      </c>
      <c r="G55" s="2" t="inlineStr">
        <is>
          <t>FY26 TB.csv</t>
        </is>
      </c>
      <c r="H55" s="2" t="inlineStr">
        <is>
          <t>Current Year</t>
        </is>
      </c>
    </row>
    <row r="56">
      <c r="A56" s="2" t="inlineStr">
        <is>
          <t>3042</t>
        </is>
      </c>
      <c r="B56" s="2" t="inlineStr">
        <is>
          <t>3042</t>
        </is>
      </c>
      <c r="C56" s="2" t="inlineStr">
        <is>
          <t>Retained Earnings - Corporate</t>
        </is>
      </c>
      <c r="D56" s="2" t="inlineStr">
        <is>
          <t>Equity</t>
        </is>
      </c>
      <c r="E56" s="2" t="inlineStr">
        <is>
          <t>Corporate</t>
        </is>
      </c>
      <c r="F56" s="4" t="n">
        <v>-20716</v>
      </c>
      <c r="G56" s="2" t="inlineStr">
        <is>
          <t>FY26 TB.csv</t>
        </is>
      </c>
      <c r="H56" s="2" t="inlineStr">
        <is>
          <t>Current Year</t>
        </is>
      </c>
    </row>
    <row r="57">
      <c r="A57" s="2" t="inlineStr">
        <is>
          <t>3053</t>
        </is>
      </c>
      <c r="B57" s="2" t="inlineStr">
        <is>
          <t>3053</t>
        </is>
      </c>
      <c r="C57" s="2" t="inlineStr">
        <is>
          <t>Common Stock - IT</t>
        </is>
      </c>
      <c r="D57" s="2" t="inlineStr">
        <is>
          <t>Equity</t>
        </is>
      </c>
      <c r="E57" s="2" t="inlineStr">
        <is>
          <t>IT</t>
        </is>
      </c>
      <c r="F57" s="4" t="n">
        <v>-505790</v>
      </c>
      <c r="G57" s="2" t="inlineStr">
        <is>
          <t>FY26 TB.csv</t>
        </is>
      </c>
      <c r="H57" s="2" t="inlineStr">
        <is>
          <t>Current Year</t>
        </is>
      </c>
    </row>
    <row r="58">
      <c r="A58" s="2" t="inlineStr">
        <is>
          <t>3061</t>
        </is>
      </c>
      <c r="B58" s="2" t="inlineStr">
        <is>
          <t>3061</t>
        </is>
      </c>
      <c r="C58" s="2" t="inlineStr">
        <is>
          <t>Current Year Earnings - Ops</t>
        </is>
      </c>
      <c r="D58" s="2" t="inlineStr">
        <is>
          <t>Equity</t>
        </is>
      </c>
      <c r="E58" s="2" t="inlineStr">
        <is>
          <t>Ops</t>
        </is>
      </c>
      <c r="F58" s="4" t="n">
        <v>-205147</v>
      </c>
      <c r="G58" s="2" t="inlineStr">
        <is>
          <t>FY26 TB.csv</t>
        </is>
      </c>
      <c r="H58" s="2" t="inlineStr">
        <is>
          <t>Current Year</t>
        </is>
      </c>
    </row>
    <row r="59">
      <c r="A59" s="2" t="inlineStr">
        <is>
          <t>3074</t>
        </is>
      </c>
      <c r="B59" s="2" t="inlineStr">
        <is>
          <t>3074</t>
        </is>
      </c>
      <c r="C59" s="2" t="inlineStr">
        <is>
          <t>Retained Earnings - Corporate</t>
        </is>
      </c>
      <c r="D59" s="2" t="inlineStr">
        <is>
          <t>Equity</t>
        </is>
      </c>
      <c r="E59" s="2" t="inlineStr">
        <is>
          <t>Corporate</t>
        </is>
      </c>
      <c r="F59" s="4" t="n">
        <v>-27491</v>
      </c>
      <c r="G59" s="2" t="inlineStr">
        <is>
          <t>FY26 TB.csv</t>
        </is>
      </c>
      <c r="H59" s="2" t="inlineStr">
        <is>
          <t>Current Year</t>
        </is>
      </c>
    </row>
    <row r="60">
      <c r="A60" s="2" t="inlineStr">
        <is>
          <t>3084</t>
        </is>
      </c>
      <c r="B60" s="2" t="inlineStr">
        <is>
          <t>3084</t>
        </is>
      </c>
      <c r="C60" s="2" t="inlineStr">
        <is>
          <t>Distributions - IT</t>
        </is>
      </c>
      <c r="D60" s="2" t="inlineStr">
        <is>
          <t>Equity</t>
        </is>
      </c>
      <c r="E60" s="2" t="inlineStr">
        <is>
          <t>IT</t>
        </is>
      </c>
      <c r="F60" s="4" t="n">
        <v>-9988</v>
      </c>
      <c r="G60" s="2" t="inlineStr">
        <is>
          <t>FY26 TB.csv</t>
        </is>
      </c>
      <c r="H60" s="2" t="inlineStr">
        <is>
          <t>Current Year</t>
        </is>
      </c>
    </row>
    <row r="61">
      <c r="A61" s="2" t="inlineStr">
        <is>
          <t>3092</t>
        </is>
      </c>
      <c r="B61" s="2" t="inlineStr">
        <is>
          <t>3092</t>
        </is>
      </c>
      <c r="C61" s="2" t="inlineStr">
        <is>
          <t>Current Year Earnings - IT</t>
        </is>
      </c>
      <c r="D61" s="2" t="inlineStr">
        <is>
          <t>Equity</t>
        </is>
      </c>
      <c r="E61" s="2" t="inlineStr">
        <is>
          <t>IT</t>
        </is>
      </c>
      <c r="F61" s="4" t="n">
        <v>-415316</v>
      </c>
      <c r="G61" s="2" t="inlineStr">
        <is>
          <t>FY26 TB.csv</t>
        </is>
      </c>
      <c r="H61" s="2" t="inlineStr">
        <is>
          <t>Current Year</t>
        </is>
      </c>
    </row>
    <row r="62">
      <c r="A62" s="2" t="inlineStr">
        <is>
          <t>3101</t>
        </is>
      </c>
      <c r="B62" s="2" t="inlineStr">
        <is>
          <t>3101</t>
        </is>
      </c>
      <c r="C62" s="2" t="inlineStr">
        <is>
          <t>Current Year Earnings - Corporate</t>
        </is>
      </c>
      <c r="D62" s="2" t="inlineStr">
        <is>
          <t>Equity</t>
        </is>
      </c>
      <c r="E62" s="2" t="inlineStr">
        <is>
          <t>Corporate</t>
        </is>
      </c>
      <c r="F62" s="4" t="n">
        <v>-23622</v>
      </c>
      <c r="G62" s="2" t="inlineStr">
        <is>
          <t>FY26 TB.csv</t>
        </is>
      </c>
      <c r="H62" s="2" t="inlineStr">
        <is>
          <t>Current Year</t>
        </is>
      </c>
    </row>
    <row r="63">
      <c r="A63" s="2" t="inlineStr">
        <is>
          <t>3110</t>
        </is>
      </c>
      <c r="B63" s="2" t="inlineStr">
        <is>
          <t>3110</t>
        </is>
      </c>
      <c r="C63" s="2" t="inlineStr">
        <is>
          <t>Distributions - Warehouse</t>
        </is>
      </c>
      <c r="D63" s="2" t="inlineStr">
        <is>
          <t>Equity</t>
        </is>
      </c>
      <c r="E63" s="2" t="inlineStr">
        <is>
          <t>Warehouse</t>
        </is>
      </c>
      <c r="F63" s="4" t="n">
        <v>-20805</v>
      </c>
      <c r="G63" s="2" t="inlineStr">
        <is>
          <t>FY26 TB.csv</t>
        </is>
      </c>
      <c r="H63" s="2" t="inlineStr">
        <is>
          <t>Current Year</t>
        </is>
      </c>
    </row>
    <row r="64">
      <c r="A64" s="2" t="inlineStr">
        <is>
          <t>3123</t>
        </is>
      </c>
      <c r="B64" s="2" t="inlineStr">
        <is>
          <t>3123</t>
        </is>
      </c>
      <c r="C64" s="2" t="inlineStr">
        <is>
          <t>Common Stock - IT</t>
        </is>
      </c>
      <c r="D64" s="2" t="inlineStr">
        <is>
          <t>Equity</t>
        </is>
      </c>
      <c r="E64" s="2" t="inlineStr">
        <is>
          <t>IT</t>
        </is>
      </c>
      <c r="F64" s="4" t="n">
        <v>-19655</v>
      </c>
      <c r="G64" s="2" t="inlineStr">
        <is>
          <t>FY26 TB.csv</t>
        </is>
      </c>
      <c r="H64" s="2" t="inlineStr">
        <is>
          <t>Current Year</t>
        </is>
      </c>
    </row>
    <row r="65">
      <c r="A65" s="2" t="inlineStr">
        <is>
          <t>3133</t>
        </is>
      </c>
      <c r="B65" s="2" t="inlineStr">
        <is>
          <t>3133</t>
        </is>
      </c>
      <c r="C65" s="2" t="inlineStr">
        <is>
          <t>Common Stock - Warehouse</t>
        </is>
      </c>
      <c r="D65" s="2" t="inlineStr">
        <is>
          <t>Equity</t>
        </is>
      </c>
      <c r="E65" s="2" t="inlineStr">
        <is>
          <t>Warehouse</t>
        </is>
      </c>
      <c r="F65" s="4" t="n">
        <v>-17820</v>
      </c>
      <c r="G65" s="2" t="inlineStr">
        <is>
          <t>FY26 TB.csv</t>
        </is>
      </c>
      <c r="H65" s="2" t="inlineStr">
        <is>
          <t>Current Year</t>
        </is>
      </c>
    </row>
    <row r="66">
      <c r="A66" s="2" t="inlineStr">
        <is>
          <t>3145</t>
        </is>
      </c>
      <c r="B66" s="2" t="inlineStr">
        <is>
          <t>3145</t>
        </is>
      </c>
      <c r="C66" s="2" t="inlineStr">
        <is>
          <t>Current Year Earnings - Warehouse</t>
        </is>
      </c>
      <c r="D66" s="2" t="inlineStr">
        <is>
          <t>Equity</t>
        </is>
      </c>
      <c r="E66" s="2" t="inlineStr">
        <is>
          <t>Warehouse</t>
        </is>
      </c>
      <c r="F66" s="4" t="n">
        <v>-358233</v>
      </c>
      <c r="G66" s="2" t="inlineStr">
        <is>
          <t>FY26 TB.csv</t>
        </is>
      </c>
      <c r="H66" s="2" t="inlineStr">
        <is>
          <t>Current Year</t>
        </is>
      </c>
    </row>
    <row r="67">
      <c r="A67" s="2" t="inlineStr">
        <is>
          <t>3153</t>
        </is>
      </c>
      <c r="B67" s="2" t="inlineStr">
        <is>
          <t>3153</t>
        </is>
      </c>
      <c r="C67" s="2" t="inlineStr">
        <is>
          <t>Distributions - IT</t>
        </is>
      </c>
      <c r="D67" s="2" t="inlineStr">
        <is>
          <t>Equity</t>
        </is>
      </c>
      <c r="E67" s="2" t="inlineStr">
        <is>
          <t>IT</t>
        </is>
      </c>
      <c r="F67" s="4" t="n">
        <v>-12612</v>
      </c>
      <c r="G67" s="2" t="inlineStr">
        <is>
          <t>FY26 TB.csv</t>
        </is>
      </c>
      <c r="H67" s="2" t="inlineStr">
        <is>
          <t>Current Year</t>
        </is>
      </c>
    </row>
    <row r="68">
      <c r="A68" s="2" t="inlineStr">
        <is>
          <t>3161</t>
        </is>
      </c>
      <c r="B68" s="2" t="inlineStr">
        <is>
          <t>3161</t>
        </is>
      </c>
      <c r="C68" s="2" t="inlineStr">
        <is>
          <t>Retained Earnings - IT</t>
        </is>
      </c>
      <c r="D68" s="2" t="inlineStr">
        <is>
          <t>Equity</t>
        </is>
      </c>
      <c r="E68" s="2" t="inlineStr">
        <is>
          <t>IT</t>
        </is>
      </c>
      <c r="F68" s="4" t="n">
        <v>-628013</v>
      </c>
      <c r="G68" s="2" t="inlineStr">
        <is>
          <t>FY26 TB.csv</t>
        </is>
      </c>
      <c r="H68" s="2" t="inlineStr">
        <is>
          <t>Current Year</t>
        </is>
      </c>
    </row>
    <row r="69">
      <c r="A69" s="2" t="inlineStr">
        <is>
          <t>3173</t>
        </is>
      </c>
      <c r="B69" s="2" t="inlineStr">
        <is>
          <t>3173</t>
        </is>
      </c>
      <c r="C69" s="2" t="inlineStr">
        <is>
          <t>Current Year Earnings - Ops</t>
        </is>
      </c>
      <c r="D69" s="2" t="inlineStr">
        <is>
          <t>Equity</t>
        </is>
      </c>
      <c r="E69" s="2" t="inlineStr">
        <is>
          <t>Ops</t>
        </is>
      </c>
      <c r="F69" s="4" t="n">
        <v>-17053</v>
      </c>
      <c r="G69" s="2" t="inlineStr">
        <is>
          <t>FY26 TB.csv</t>
        </is>
      </c>
      <c r="H69" s="2" t="inlineStr">
        <is>
          <t>Current Year</t>
        </is>
      </c>
    </row>
    <row r="70">
      <c r="A70" s="2" t="inlineStr">
        <is>
          <t>3182</t>
        </is>
      </c>
      <c r="B70" s="2" t="inlineStr">
        <is>
          <t>3182</t>
        </is>
      </c>
      <c r="C70" s="2" t="inlineStr">
        <is>
          <t>Distributions - IT</t>
        </is>
      </c>
      <c r="D70" s="2" t="inlineStr">
        <is>
          <t>Equity</t>
        </is>
      </c>
      <c r="E70" s="2" t="inlineStr">
        <is>
          <t>IT</t>
        </is>
      </c>
      <c r="F70" s="4" t="n">
        <v>-473973</v>
      </c>
      <c r="G70" s="2" t="inlineStr">
        <is>
          <t>FY26 TB.csv</t>
        </is>
      </c>
      <c r="H70" s="2" t="inlineStr">
        <is>
          <t>Current Year</t>
        </is>
      </c>
    </row>
    <row r="71">
      <c r="A71" s="2" t="inlineStr">
        <is>
          <t>3194</t>
        </is>
      </c>
      <c r="B71" s="2" t="inlineStr">
        <is>
          <t>3194</t>
        </is>
      </c>
      <c r="C71" s="2" t="inlineStr">
        <is>
          <t>Common Stock - Corporate</t>
        </is>
      </c>
      <c r="D71" s="2" t="inlineStr">
        <is>
          <t>Equity</t>
        </is>
      </c>
      <c r="E71" s="2" t="inlineStr">
        <is>
          <t>Corporate</t>
        </is>
      </c>
      <c r="F71" s="4" t="n">
        <v>-29645</v>
      </c>
      <c r="G71" s="2" t="inlineStr">
        <is>
          <t>FY26 TB.csv</t>
        </is>
      </c>
      <c r="H71" s="2" t="inlineStr">
        <is>
          <t>Current Year</t>
        </is>
      </c>
    </row>
    <row r="72">
      <c r="A72" s="2" t="inlineStr">
        <is>
          <t>3203</t>
        </is>
      </c>
      <c r="B72" s="2" t="inlineStr">
        <is>
          <t>3203</t>
        </is>
      </c>
      <c r="C72" s="2" t="inlineStr">
        <is>
          <t>Retained Earnings - Ops</t>
        </is>
      </c>
      <c r="D72" s="2" t="inlineStr">
        <is>
          <t>Equity</t>
        </is>
      </c>
      <c r="E72" s="2" t="inlineStr">
        <is>
          <t>Ops</t>
        </is>
      </c>
      <c r="F72" s="4" t="n">
        <v>-115939</v>
      </c>
      <c r="G72" s="2" t="inlineStr">
        <is>
          <t>FY26 TB.csv</t>
        </is>
      </c>
      <c r="H72" s="2" t="inlineStr">
        <is>
          <t>Current Year</t>
        </is>
      </c>
    </row>
    <row r="73">
      <c r="A73" s="2" t="inlineStr">
        <is>
          <t>3214</t>
        </is>
      </c>
      <c r="B73" s="2" t="inlineStr">
        <is>
          <t>3214</t>
        </is>
      </c>
      <c r="C73" s="2" t="inlineStr">
        <is>
          <t>Distributions - Ops</t>
        </is>
      </c>
      <c r="D73" s="2" t="inlineStr">
        <is>
          <t>Equity</t>
        </is>
      </c>
      <c r="E73" s="2" t="inlineStr">
        <is>
          <t>Ops</t>
        </is>
      </c>
      <c r="F73" s="4" t="n">
        <v>-65337</v>
      </c>
      <c r="G73" s="2" t="inlineStr">
        <is>
          <t>FY26 TB.csv</t>
        </is>
      </c>
      <c r="H73" s="2" t="inlineStr">
        <is>
          <t>Current Year</t>
        </is>
      </c>
    </row>
    <row r="74">
      <c r="A74" s="2" t="inlineStr">
        <is>
          <t>3225</t>
        </is>
      </c>
      <c r="B74" s="2" t="inlineStr">
        <is>
          <t>3225</t>
        </is>
      </c>
      <c r="C74" s="2" t="inlineStr">
        <is>
          <t>Current Year Earnings - IT</t>
        </is>
      </c>
      <c r="D74" s="2" t="inlineStr">
        <is>
          <t>Equity</t>
        </is>
      </c>
      <c r="E74" s="2" t="inlineStr">
        <is>
          <t>IT</t>
        </is>
      </c>
      <c r="F74" s="4" t="n">
        <v>-12405</v>
      </c>
      <c r="G74" s="2" t="inlineStr">
        <is>
          <t>FY26 TB.csv</t>
        </is>
      </c>
      <c r="H74" s="2" t="inlineStr">
        <is>
          <t>Current Year</t>
        </is>
      </c>
    </row>
    <row r="75">
      <c r="A75" s="2" t="inlineStr">
        <is>
          <t>3234</t>
        </is>
      </c>
      <c r="B75" s="2" t="inlineStr">
        <is>
          <t>3234</t>
        </is>
      </c>
      <c r="C75" s="2" t="inlineStr">
        <is>
          <t>Distributions - Corporate</t>
        </is>
      </c>
      <c r="D75" s="2" t="inlineStr">
        <is>
          <t>Equity</t>
        </is>
      </c>
      <c r="E75" s="2" t="inlineStr">
        <is>
          <t>Corporate</t>
        </is>
      </c>
      <c r="F75" s="4" t="n">
        <v>-45352</v>
      </c>
      <c r="G75" s="2" t="inlineStr">
        <is>
          <t>FY26 TB.csv</t>
        </is>
      </c>
      <c r="H75" s="2" t="inlineStr">
        <is>
          <t>Current Year</t>
        </is>
      </c>
    </row>
    <row r="76">
      <c r="A76" s="2" t="inlineStr">
        <is>
          <t>3245</t>
        </is>
      </c>
      <c r="B76" s="2" t="inlineStr">
        <is>
          <t>3245</t>
        </is>
      </c>
      <c r="C76" s="2" t="inlineStr">
        <is>
          <t>Common Stock - Warehouse</t>
        </is>
      </c>
      <c r="D76" s="2" t="inlineStr">
        <is>
          <t>Equity</t>
        </is>
      </c>
      <c r="E76" s="2" t="inlineStr">
        <is>
          <t>Warehouse</t>
        </is>
      </c>
      <c r="F76" s="4" t="n">
        <v>-7075</v>
      </c>
      <c r="G76" s="2" t="inlineStr">
        <is>
          <t>FY26 TB.csv</t>
        </is>
      </c>
      <c r="H76" s="2" t="inlineStr">
        <is>
          <t>Current Year</t>
        </is>
      </c>
    </row>
    <row r="77">
      <c r="A77" s="2" t="inlineStr">
        <is>
          <t>4003</t>
        </is>
      </c>
      <c r="B77" s="2" t="inlineStr">
        <is>
          <t>4003</t>
        </is>
      </c>
      <c r="C77" s="2" t="inlineStr">
        <is>
          <t>Discounts - Corporate</t>
        </is>
      </c>
      <c r="D77" s="2" t="inlineStr">
        <is>
          <t>Revenue</t>
        </is>
      </c>
      <c r="E77" s="2" t="inlineStr">
        <is>
          <t>Corporate</t>
        </is>
      </c>
      <c r="F77" s="4" t="n">
        <v>-48401</v>
      </c>
      <c r="G77" s="2" t="inlineStr">
        <is>
          <t>FY26 TB.csv</t>
        </is>
      </c>
      <c r="H77" s="2" t="inlineStr">
        <is>
          <t>Current Year</t>
        </is>
      </c>
    </row>
    <row r="78">
      <c r="A78" s="2" t="inlineStr">
        <is>
          <t>4013</t>
        </is>
      </c>
      <c r="B78" s="2" t="inlineStr">
        <is>
          <t>4013</t>
        </is>
      </c>
      <c r="C78" s="2" t="inlineStr">
        <is>
          <t>Other Income - IT</t>
        </is>
      </c>
      <c r="D78" s="2" t="inlineStr">
        <is>
          <t>Revenue</t>
        </is>
      </c>
      <c r="E78" s="2" t="inlineStr">
        <is>
          <t>IT</t>
        </is>
      </c>
      <c r="F78" s="4" t="n">
        <v>-14392</v>
      </c>
      <c r="G78" s="2" t="inlineStr">
        <is>
          <t>FY26 TB.csv</t>
        </is>
      </c>
      <c r="H78" s="2" t="inlineStr">
        <is>
          <t>Current Year</t>
        </is>
      </c>
    </row>
    <row r="79">
      <c r="A79" s="2" t="inlineStr">
        <is>
          <t>4023</t>
        </is>
      </c>
      <c r="B79" s="2" t="inlineStr">
        <is>
          <t>4023</t>
        </is>
      </c>
      <c r="C79" s="2" t="inlineStr">
        <is>
          <t>Product Revenue - Sales</t>
        </is>
      </c>
      <c r="D79" s="2" t="inlineStr">
        <is>
          <t>Revenue</t>
        </is>
      </c>
      <c r="E79" s="2" t="inlineStr">
        <is>
          <t>Sales</t>
        </is>
      </c>
      <c r="F79" s="4" t="n">
        <v>-18136</v>
      </c>
      <c r="G79" s="2" t="inlineStr">
        <is>
          <t>FY26 TB.csv</t>
        </is>
      </c>
      <c r="H79" s="2" t="inlineStr">
        <is>
          <t>Current Year</t>
        </is>
      </c>
    </row>
    <row r="80">
      <c r="A80" s="2" t="inlineStr">
        <is>
          <t>4032</t>
        </is>
      </c>
      <c r="B80" s="2" t="inlineStr">
        <is>
          <t>4032</t>
        </is>
      </c>
      <c r="C80" s="2" t="inlineStr">
        <is>
          <t>Product Revenue - IT</t>
        </is>
      </c>
      <c r="D80" s="2" t="inlineStr">
        <is>
          <t>Revenue</t>
        </is>
      </c>
      <c r="E80" s="2" t="inlineStr">
        <is>
          <t>IT</t>
        </is>
      </c>
      <c r="F80" s="4" t="n">
        <v>-22150</v>
      </c>
      <c r="G80" s="2" t="inlineStr">
        <is>
          <t>FY26 TB.csv</t>
        </is>
      </c>
      <c r="H80" s="2" t="inlineStr">
        <is>
          <t>Current Year</t>
        </is>
      </c>
    </row>
    <row r="81">
      <c r="A81" s="2" t="inlineStr">
        <is>
          <t>4042</t>
        </is>
      </c>
      <c r="B81" s="2" t="inlineStr">
        <is>
          <t>4042</t>
        </is>
      </c>
      <c r="C81" s="2" t="inlineStr">
        <is>
          <t>Other Income - Corporate</t>
        </is>
      </c>
      <c r="D81" s="2" t="inlineStr">
        <is>
          <t>Revenue</t>
        </is>
      </c>
      <c r="E81" s="2" t="inlineStr">
        <is>
          <t>Corporate</t>
        </is>
      </c>
      <c r="F81" s="4" t="n">
        <v>-42242</v>
      </c>
      <c r="G81" s="2" t="inlineStr">
        <is>
          <t>FY26 TB.csv</t>
        </is>
      </c>
      <c r="H81" s="2" t="inlineStr">
        <is>
          <t>Current Year</t>
        </is>
      </c>
    </row>
    <row r="82">
      <c r="A82" s="2" t="inlineStr">
        <is>
          <t>4054</t>
        </is>
      </c>
      <c r="B82" s="2" t="inlineStr">
        <is>
          <t>4054</t>
        </is>
      </c>
      <c r="C82" s="2" t="inlineStr">
        <is>
          <t>Returns and Allowances - IT</t>
        </is>
      </c>
      <c r="D82" s="2" t="inlineStr">
        <is>
          <t>Revenue</t>
        </is>
      </c>
      <c r="E82" s="2" t="inlineStr">
        <is>
          <t>IT</t>
        </is>
      </c>
      <c r="F82" s="4" t="n">
        <v>-177583</v>
      </c>
      <c r="G82" s="2" t="inlineStr">
        <is>
          <t>FY26 TB.csv</t>
        </is>
      </c>
      <c r="H82" s="2" t="inlineStr">
        <is>
          <t>Current Year</t>
        </is>
      </c>
    </row>
    <row r="83">
      <c r="A83" s="2" t="inlineStr">
        <is>
          <t>4062</t>
        </is>
      </c>
      <c r="B83" s="2" t="inlineStr">
        <is>
          <t>4062</t>
        </is>
      </c>
      <c r="C83" s="2" t="inlineStr">
        <is>
          <t>Product Revenue - Admin</t>
        </is>
      </c>
      <c r="D83" s="2" t="inlineStr">
        <is>
          <t>Revenue</t>
        </is>
      </c>
      <c r="E83" s="2" t="inlineStr">
        <is>
          <t>Admin</t>
        </is>
      </c>
      <c r="F83" s="4" t="n">
        <v>-7225</v>
      </c>
      <c r="G83" s="2" t="inlineStr">
        <is>
          <t>FY26 TB.csv</t>
        </is>
      </c>
      <c r="H83" s="2" t="inlineStr">
        <is>
          <t>Current Year</t>
        </is>
      </c>
    </row>
    <row r="84">
      <c r="A84" s="2" t="inlineStr">
        <is>
          <t>4074</t>
        </is>
      </c>
      <c r="B84" s="2" t="inlineStr">
        <is>
          <t>4074</t>
        </is>
      </c>
      <c r="C84" s="2" t="inlineStr">
        <is>
          <t>Returns and Allowances - Warehouse</t>
        </is>
      </c>
      <c r="D84" s="2" t="inlineStr">
        <is>
          <t>Revenue</t>
        </is>
      </c>
      <c r="E84" s="2" t="inlineStr">
        <is>
          <t>Warehouse</t>
        </is>
      </c>
      <c r="F84" s="4" t="n">
        <v>-43961</v>
      </c>
      <c r="G84" s="2" t="inlineStr">
        <is>
          <t>FY26 TB.csv</t>
        </is>
      </c>
      <c r="H84" s="2" t="inlineStr">
        <is>
          <t>Current Year</t>
        </is>
      </c>
    </row>
    <row r="85">
      <c r="A85" s="2" t="inlineStr">
        <is>
          <t>4085</t>
        </is>
      </c>
      <c r="B85" s="2" t="inlineStr">
        <is>
          <t>4085</t>
        </is>
      </c>
      <c r="C85" s="2" t="inlineStr">
        <is>
          <t>Service Revenue - Admin</t>
        </is>
      </c>
      <c r="D85" s="2" t="inlineStr">
        <is>
          <t>Revenue</t>
        </is>
      </c>
      <c r="E85" s="2" t="inlineStr">
        <is>
          <t>Admin</t>
        </is>
      </c>
      <c r="F85" s="4" t="n">
        <v>-22476</v>
      </c>
      <c r="G85" s="2" t="inlineStr">
        <is>
          <t>FY26 TB.csv</t>
        </is>
      </c>
      <c r="H85" s="2" t="inlineStr">
        <is>
          <t>Current Year</t>
        </is>
      </c>
    </row>
    <row r="86">
      <c r="A86" s="2" t="inlineStr">
        <is>
          <t>4091</t>
        </is>
      </c>
      <c r="B86" s="2" t="inlineStr">
        <is>
          <t>4091</t>
        </is>
      </c>
      <c r="C86" s="2" t="inlineStr">
        <is>
          <t>Service Revenue - Ops</t>
        </is>
      </c>
      <c r="D86" s="2" t="inlineStr">
        <is>
          <t>Revenue</t>
        </is>
      </c>
      <c r="E86" s="2" t="inlineStr">
        <is>
          <t>Ops</t>
        </is>
      </c>
      <c r="F86" s="4" t="n">
        <v>-76437</v>
      </c>
      <c r="G86" s="2" t="inlineStr">
        <is>
          <t>FY26 TB.csv</t>
        </is>
      </c>
      <c r="H86" s="2" t="inlineStr">
        <is>
          <t>Current Year</t>
        </is>
      </c>
    </row>
    <row r="87">
      <c r="A87" s="2" t="inlineStr">
        <is>
          <t>4100</t>
        </is>
      </c>
      <c r="B87" s="2" t="inlineStr">
        <is>
          <t>4100</t>
        </is>
      </c>
      <c r="C87" s="2" t="inlineStr">
        <is>
          <t>Other Income - Sales</t>
        </is>
      </c>
      <c r="D87" s="2" t="inlineStr">
        <is>
          <t>Revenue</t>
        </is>
      </c>
      <c r="E87" s="2" t="inlineStr">
        <is>
          <t>Sales</t>
        </is>
      </c>
      <c r="F87" s="4" t="n">
        <v>-83209</v>
      </c>
      <c r="G87" s="2" t="inlineStr">
        <is>
          <t>FY26 TB.csv</t>
        </is>
      </c>
      <c r="H87" s="2" t="inlineStr">
        <is>
          <t>Current Year</t>
        </is>
      </c>
    </row>
    <row r="88">
      <c r="A88" s="2" t="inlineStr">
        <is>
          <t>4112</t>
        </is>
      </c>
      <c r="B88" s="2" t="inlineStr">
        <is>
          <t>4112</t>
        </is>
      </c>
      <c r="C88" s="2" t="inlineStr">
        <is>
          <t>Other Income - Ops</t>
        </is>
      </c>
      <c r="D88" s="2" t="inlineStr">
        <is>
          <t>Revenue</t>
        </is>
      </c>
      <c r="E88" s="2" t="inlineStr">
        <is>
          <t>Ops</t>
        </is>
      </c>
      <c r="F88" s="4" t="n">
        <v>-90024</v>
      </c>
      <c r="G88" s="2" t="inlineStr">
        <is>
          <t>FY26 TB.csv</t>
        </is>
      </c>
      <c r="H88" s="2" t="inlineStr">
        <is>
          <t>Current Year</t>
        </is>
      </c>
    </row>
    <row r="89">
      <c r="A89" s="2" t="inlineStr">
        <is>
          <t>4120</t>
        </is>
      </c>
      <c r="B89" s="2" t="inlineStr">
        <is>
          <t>4120</t>
        </is>
      </c>
      <c r="C89" s="2" t="inlineStr">
        <is>
          <t>Discounts - Ops</t>
        </is>
      </c>
      <c r="D89" s="2" t="inlineStr">
        <is>
          <t>Revenue</t>
        </is>
      </c>
      <c r="E89" s="2" t="inlineStr">
        <is>
          <t>Ops</t>
        </is>
      </c>
      <c r="F89" s="4" t="n">
        <v>-40313</v>
      </c>
      <c r="G89" s="2" t="inlineStr">
        <is>
          <t>FY26 TB.csv</t>
        </is>
      </c>
      <c r="H89" s="2" t="inlineStr">
        <is>
          <t>Current Year</t>
        </is>
      </c>
    </row>
    <row r="90">
      <c r="A90" s="2" t="inlineStr">
        <is>
          <t>4130</t>
        </is>
      </c>
      <c r="B90" s="2" t="inlineStr">
        <is>
          <t>4130</t>
        </is>
      </c>
      <c r="C90" s="2" t="inlineStr">
        <is>
          <t>Other Income - Sales</t>
        </is>
      </c>
      <c r="D90" s="2" t="inlineStr">
        <is>
          <t>Revenue</t>
        </is>
      </c>
      <c r="E90" s="2" t="inlineStr">
        <is>
          <t>Sales</t>
        </is>
      </c>
      <c r="F90" s="4" t="n">
        <v>-137488</v>
      </c>
      <c r="G90" s="2" t="inlineStr">
        <is>
          <t>FY26 TB.csv</t>
        </is>
      </c>
      <c r="H90" s="2" t="inlineStr">
        <is>
          <t>Current Year</t>
        </is>
      </c>
    </row>
    <row r="91">
      <c r="A91" s="2" t="inlineStr">
        <is>
          <t>4143</t>
        </is>
      </c>
      <c r="B91" s="2" t="inlineStr">
        <is>
          <t>4143</t>
        </is>
      </c>
      <c r="C91" s="2" t="inlineStr">
        <is>
          <t>Other Income - IT</t>
        </is>
      </c>
      <c r="D91" s="2" t="inlineStr">
        <is>
          <t>Revenue</t>
        </is>
      </c>
      <c r="E91" s="2" t="inlineStr">
        <is>
          <t>IT</t>
        </is>
      </c>
      <c r="F91" s="4" t="n">
        <v>-111045</v>
      </c>
      <c r="G91" s="2" t="inlineStr">
        <is>
          <t>FY26 TB.csv</t>
        </is>
      </c>
      <c r="H91" s="2" t="inlineStr">
        <is>
          <t>Current Year</t>
        </is>
      </c>
    </row>
    <row r="92">
      <c r="A92" s="2" t="inlineStr">
        <is>
          <t>4150</t>
        </is>
      </c>
      <c r="B92" s="2" t="inlineStr">
        <is>
          <t>4150</t>
        </is>
      </c>
      <c r="C92" s="2" t="inlineStr">
        <is>
          <t>Other Income - Warehouse</t>
        </is>
      </c>
      <c r="D92" s="2" t="inlineStr">
        <is>
          <t>Revenue</t>
        </is>
      </c>
      <c r="E92" s="2" t="inlineStr">
        <is>
          <t>Warehouse</t>
        </is>
      </c>
      <c r="F92" s="4" t="n">
        <v>-61191</v>
      </c>
      <c r="G92" s="2" t="inlineStr">
        <is>
          <t>FY26 TB.csv</t>
        </is>
      </c>
      <c r="H92" s="2" t="inlineStr">
        <is>
          <t>Current Year</t>
        </is>
      </c>
    </row>
    <row r="93">
      <c r="A93" s="2" t="inlineStr">
        <is>
          <t>4161</t>
        </is>
      </c>
      <c r="B93" s="2" t="inlineStr">
        <is>
          <t>4161</t>
        </is>
      </c>
      <c r="C93" s="2" t="inlineStr">
        <is>
          <t>Service Revenue - Ops</t>
        </is>
      </c>
      <c r="D93" s="2" t="inlineStr">
        <is>
          <t>Revenue</t>
        </is>
      </c>
      <c r="E93" s="2" t="inlineStr">
        <is>
          <t>Ops</t>
        </is>
      </c>
      <c r="F93" s="4" t="n">
        <v>-39924</v>
      </c>
      <c r="G93" s="2" t="inlineStr">
        <is>
          <t>FY26 TB.csv</t>
        </is>
      </c>
      <c r="H93" s="2" t="inlineStr">
        <is>
          <t>Current Year</t>
        </is>
      </c>
    </row>
    <row r="94">
      <c r="A94" s="2" t="inlineStr">
        <is>
          <t>4170</t>
        </is>
      </c>
      <c r="B94" s="2" t="inlineStr">
        <is>
          <t>4170</t>
        </is>
      </c>
      <c r="C94" s="2" t="inlineStr">
        <is>
          <t>Returns and Allowances - Sales</t>
        </is>
      </c>
      <c r="D94" s="2" t="inlineStr">
        <is>
          <t>Revenue</t>
        </is>
      </c>
      <c r="E94" s="2" t="inlineStr">
        <is>
          <t>Sales</t>
        </is>
      </c>
      <c r="F94" s="4" t="n">
        <v>-9009</v>
      </c>
      <c r="G94" s="2" t="inlineStr">
        <is>
          <t>FY26 TB.csv</t>
        </is>
      </c>
      <c r="H94" s="2" t="inlineStr">
        <is>
          <t>Current Year</t>
        </is>
      </c>
    </row>
    <row r="95">
      <c r="A95" s="2" t="inlineStr">
        <is>
          <t>4185</t>
        </is>
      </c>
      <c r="B95" s="2" t="inlineStr">
        <is>
          <t>4185</t>
        </is>
      </c>
      <c r="C95" s="2" t="inlineStr">
        <is>
          <t>Service Revenue - Sales</t>
        </is>
      </c>
      <c r="D95" s="2" t="inlineStr">
        <is>
          <t>Revenue</t>
        </is>
      </c>
      <c r="E95" s="2" t="inlineStr">
        <is>
          <t>Sales</t>
        </is>
      </c>
      <c r="F95" s="4" t="n">
        <v>-77636</v>
      </c>
      <c r="G95" s="2" t="inlineStr">
        <is>
          <t>FY26 TB.csv</t>
        </is>
      </c>
      <c r="H95" s="2" t="inlineStr">
        <is>
          <t>Current Year</t>
        </is>
      </c>
    </row>
    <row r="96">
      <c r="A96" s="2" t="inlineStr">
        <is>
          <t>4191</t>
        </is>
      </c>
      <c r="B96" s="2" t="inlineStr">
        <is>
          <t>4191</t>
        </is>
      </c>
      <c r="C96" s="2" t="inlineStr">
        <is>
          <t>Service Revenue - Corporate</t>
        </is>
      </c>
      <c r="D96" s="2" t="inlineStr">
        <is>
          <t>Revenue</t>
        </is>
      </c>
      <c r="E96" s="2" t="inlineStr">
        <is>
          <t>Corporate</t>
        </is>
      </c>
      <c r="F96" s="4" t="n">
        <v>-10826</v>
      </c>
      <c r="G96" s="2" t="inlineStr">
        <is>
          <t>FY26 TB.csv</t>
        </is>
      </c>
      <c r="H96" s="2" t="inlineStr">
        <is>
          <t>Current Year</t>
        </is>
      </c>
    </row>
    <row r="97">
      <c r="A97" s="2" t="inlineStr">
        <is>
          <t>4205</t>
        </is>
      </c>
      <c r="B97" s="2" t="inlineStr">
        <is>
          <t>4205</t>
        </is>
      </c>
      <c r="C97" s="2" t="inlineStr">
        <is>
          <t>Product Revenue - IT</t>
        </is>
      </c>
      <c r="D97" s="2" t="inlineStr">
        <is>
          <t>Revenue</t>
        </is>
      </c>
      <c r="E97" s="2" t="inlineStr">
        <is>
          <t>IT</t>
        </is>
      </c>
      <c r="F97" s="4" t="n">
        <v>-19184</v>
      </c>
      <c r="G97" s="2" t="inlineStr">
        <is>
          <t>FY26 TB.csv</t>
        </is>
      </c>
      <c r="H97" s="2" t="inlineStr">
        <is>
          <t>Current Year</t>
        </is>
      </c>
    </row>
    <row r="98">
      <c r="A98" s="2" t="inlineStr">
        <is>
          <t>4214</t>
        </is>
      </c>
      <c r="B98" s="2" t="inlineStr">
        <is>
          <t>4214</t>
        </is>
      </c>
      <c r="C98" s="2" t="inlineStr">
        <is>
          <t>Returns and Allowances - Admin</t>
        </is>
      </c>
      <c r="D98" s="2" t="inlineStr">
        <is>
          <t>Revenue</t>
        </is>
      </c>
      <c r="E98" s="2" t="inlineStr">
        <is>
          <t>Admin</t>
        </is>
      </c>
      <c r="F98" s="4" t="n">
        <v>-9108</v>
      </c>
      <c r="G98" s="2" t="inlineStr">
        <is>
          <t>FY26 TB.csv</t>
        </is>
      </c>
      <c r="H98" s="2" t="inlineStr">
        <is>
          <t>Current Year</t>
        </is>
      </c>
    </row>
    <row r="99">
      <c r="A99" s="2" t="inlineStr">
        <is>
          <t>4225</t>
        </is>
      </c>
      <c r="B99" s="2" t="inlineStr">
        <is>
          <t>4225</t>
        </is>
      </c>
      <c r="C99" s="2" t="inlineStr">
        <is>
          <t>Product Revenue - Ops</t>
        </is>
      </c>
      <c r="D99" s="2" t="inlineStr">
        <is>
          <t>Revenue</t>
        </is>
      </c>
      <c r="E99" s="2" t="inlineStr">
        <is>
          <t>Ops</t>
        </is>
      </c>
      <c r="F99" s="4" t="n">
        <v>-162586</v>
      </c>
      <c r="G99" s="2" t="inlineStr">
        <is>
          <t>FY26 TB.csv</t>
        </is>
      </c>
      <c r="H99" s="2" t="inlineStr">
        <is>
          <t>Current Year</t>
        </is>
      </c>
    </row>
    <row r="100">
      <c r="A100" s="2" t="inlineStr">
        <is>
          <t>4233</t>
        </is>
      </c>
      <c r="B100" s="2" t="inlineStr">
        <is>
          <t>4233</t>
        </is>
      </c>
      <c r="C100" s="2" t="inlineStr">
        <is>
          <t>Product Revenue - Ops</t>
        </is>
      </c>
      <c r="D100" s="2" t="inlineStr">
        <is>
          <t>Revenue</t>
        </is>
      </c>
      <c r="E100" s="2" t="inlineStr">
        <is>
          <t>Ops</t>
        </is>
      </c>
      <c r="F100" s="4" t="n">
        <v>-37473</v>
      </c>
      <c r="G100" s="2" t="inlineStr">
        <is>
          <t>FY26 TB.csv</t>
        </is>
      </c>
      <c r="H100" s="2" t="inlineStr">
        <is>
          <t>Current Year</t>
        </is>
      </c>
    </row>
    <row r="101">
      <c r="A101" s="2" t="inlineStr">
        <is>
          <t>4242</t>
        </is>
      </c>
      <c r="B101" s="2" t="inlineStr">
        <is>
          <t>4242</t>
        </is>
      </c>
      <c r="C101" s="2" t="inlineStr">
        <is>
          <t>Product Revenue - IT</t>
        </is>
      </c>
      <c r="D101" s="2" t="inlineStr">
        <is>
          <t>Revenue</t>
        </is>
      </c>
      <c r="E101" s="2" t="inlineStr">
        <is>
          <t>IT</t>
        </is>
      </c>
      <c r="F101" s="4" t="n">
        <v>-26921</v>
      </c>
      <c r="G101" s="2" t="inlineStr">
        <is>
          <t>FY26 TB.csv</t>
        </is>
      </c>
      <c r="H101" s="2" t="inlineStr">
        <is>
          <t>Current Year</t>
        </is>
      </c>
    </row>
    <row r="102">
      <c r="A102" s="2" t="inlineStr">
        <is>
          <t>4253</t>
        </is>
      </c>
      <c r="B102" s="2" t="inlineStr">
        <is>
          <t>4253</t>
        </is>
      </c>
      <c r="C102" s="2" t="inlineStr">
        <is>
          <t>Returns and Allowances - Corporate</t>
        </is>
      </c>
      <c r="D102" s="2" t="inlineStr">
        <is>
          <t>Revenue</t>
        </is>
      </c>
      <c r="E102" s="2" t="inlineStr">
        <is>
          <t>Corporate</t>
        </is>
      </c>
      <c r="F102" s="4" t="n">
        <v>-127210</v>
      </c>
      <c r="G102" s="2" t="inlineStr">
        <is>
          <t>FY26 TB.csv</t>
        </is>
      </c>
      <c r="H102" s="2" t="inlineStr">
        <is>
          <t>Current Year</t>
        </is>
      </c>
    </row>
    <row r="103">
      <c r="A103" s="2" t="inlineStr">
        <is>
          <t>4263</t>
        </is>
      </c>
      <c r="B103" s="2" t="inlineStr">
        <is>
          <t>4263</t>
        </is>
      </c>
      <c r="C103" s="2" t="inlineStr">
        <is>
          <t>Discounts - Admin</t>
        </is>
      </c>
      <c r="D103" s="2" t="inlineStr">
        <is>
          <t>Revenue</t>
        </is>
      </c>
      <c r="E103" s="2" t="inlineStr">
        <is>
          <t>Admin</t>
        </is>
      </c>
      <c r="F103" s="4" t="n">
        <v>-37118</v>
      </c>
      <c r="G103" s="2" t="inlineStr">
        <is>
          <t>FY26 TB.csv</t>
        </is>
      </c>
      <c r="H103" s="2" t="inlineStr">
        <is>
          <t>Current Year</t>
        </is>
      </c>
    </row>
    <row r="104">
      <c r="A104" s="2" t="inlineStr">
        <is>
          <t>4273</t>
        </is>
      </c>
      <c r="B104" s="2" t="inlineStr">
        <is>
          <t>4273</t>
        </is>
      </c>
      <c r="C104" s="2" t="inlineStr">
        <is>
          <t>Returns and Allowances - Corporate</t>
        </is>
      </c>
      <c r="D104" s="2" t="inlineStr">
        <is>
          <t>Revenue</t>
        </is>
      </c>
      <c r="E104" s="2" t="inlineStr">
        <is>
          <t>Corporate</t>
        </is>
      </c>
      <c r="F104" s="4" t="n">
        <v>-82024</v>
      </c>
      <c r="G104" s="2" t="inlineStr">
        <is>
          <t>FY26 TB.csv</t>
        </is>
      </c>
      <c r="H104" s="2" t="inlineStr">
        <is>
          <t>Current Year</t>
        </is>
      </c>
    </row>
    <row r="105">
      <c r="A105" s="2" t="inlineStr">
        <is>
          <t>4283</t>
        </is>
      </c>
      <c r="B105" s="2" t="inlineStr">
        <is>
          <t>4283</t>
        </is>
      </c>
      <c r="C105" s="2" t="inlineStr">
        <is>
          <t>Returns and Allowances - Corporate</t>
        </is>
      </c>
      <c r="D105" s="2" t="inlineStr">
        <is>
          <t>Revenue</t>
        </is>
      </c>
      <c r="E105" s="2" t="inlineStr">
        <is>
          <t>Corporate</t>
        </is>
      </c>
      <c r="F105" s="4" t="n">
        <v>-39233</v>
      </c>
      <c r="G105" s="2" t="inlineStr">
        <is>
          <t>FY26 TB.csv</t>
        </is>
      </c>
      <c r="H105" s="2" t="inlineStr">
        <is>
          <t>Current Year</t>
        </is>
      </c>
    </row>
    <row r="106">
      <c r="A106" s="2" t="inlineStr">
        <is>
          <t>4290</t>
        </is>
      </c>
      <c r="B106" s="2" t="inlineStr">
        <is>
          <t>4290</t>
        </is>
      </c>
      <c r="C106" s="2" t="inlineStr">
        <is>
          <t>Other Income - IT</t>
        </is>
      </c>
      <c r="D106" s="2" t="inlineStr">
        <is>
          <t>Revenue</t>
        </is>
      </c>
      <c r="E106" s="2" t="inlineStr">
        <is>
          <t>IT</t>
        </is>
      </c>
      <c r="F106" s="4" t="n">
        <v>-62161</v>
      </c>
      <c r="G106" s="2" t="inlineStr">
        <is>
          <t>FY26 TB.csv</t>
        </is>
      </c>
      <c r="H106" s="2" t="inlineStr">
        <is>
          <t>Current Year</t>
        </is>
      </c>
    </row>
    <row r="107">
      <c r="A107" s="2" t="inlineStr">
        <is>
          <t>4303</t>
        </is>
      </c>
      <c r="B107" s="2" t="inlineStr">
        <is>
          <t>4303</t>
        </is>
      </c>
      <c r="C107" s="2" t="inlineStr">
        <is>
          <t>Discounts - IT</t>
        </is>
      </c>
      <c r="D107" s="2" t="inlineStr">
        <is>
          <t>Revenue</t>
        </is>
      </c>
      <c r="E107" s="2" t="inlineStr">
        <is>
          <t>IT</t>
        </is>
      </c>
      <c r="F107" s="4" t="n">
        <v>-56331</v>
      </c>
      <c r="G107" s="2" t="inlineStr">
        <is>
          <t>FY26 TB.csv</t>
        </is>
      </c>
      <c r="H107" s="2" t="inlineStr">
        <is>
          <t>Current Year</t>
        </is>
      </c>
    </row>
    <row r="108">
      <c r="A108" s="2" t="inlineStr">
        <is>
          <t>4312</t>
        </is>
      </c>
      <c r="B108" s="2" t="inlineStr">
        <is>
          <t>4312</t>
        </is>
      </c>
      <c r="C108" s="2" t="inlineStr">
        <is>
          <t>Service Revenue - Admin</t>
        </is>
      </c>
      <c r="D108" s="2" t="inlineStr">
        <is>
          <t>Revenue</t>
        </is>
      </c>
      <c r="E108" s="2" t="inlineStr">
        <is>
          <t>Admin</t>
        </is>
      </c>
      <c r="F108" s="4" t="n">
        <v>-15029</v>
      </c>
      <c r="G108" s="2" t="inlineStr">
        <is>
          <t>FY26 TB.csv</t>
        </is>
      </c>
      <c r="H108" s="2" t="inlineStr">
        <is>
          <t>Current Year</t>
        </is>
      </c>
    </row>
    <row r="109">
      <c r="A109" s="2" t="inlineStr">
        <is>
          <t>4323</t>
        </is>
      </c>
      <c r="B109" s="2" t="inlineStr">
        <is>
          <t>4323</t>
        </is>
      </c>
      <c r="C109" s="2" t="inlineStr">
        <is>
          <t>Other Income - Corporate</t>
        </is>
      </c>
      <c r="D109" s="2" t="inlineStr">
        <is>
          <t>Revenue</t>
        </is>
      </c>
      <c r="E109" s="2" t="inlineStr">
        <is>
          <t>Corporate</t>
        </is>
      </c>
      <c r="F109" s="4" t="n">
        <v>-120864</v>
      </c>
      <c r="G109" s="2" t="inlineStr">
        <is>
          <t>FY26 TB.csv</t>
        </is>
      </c>
      <c r="H109" s="2" t="inlineStr">
        <is>
          <t>Current Year</t>
        </is>
      </c>
    </row>
    <row r="110">
      <c r="A110" s="2" t="inlineStr">
        <is>
          <t>4333</t>
        </is>
      </c>
      <c r="B110" s="2" t="inlineStr">
        <is>
          <t>4333</t>
        </is>
      </c>
      <c r="C110" s="2" t="inlineStr">
        <is>
          <t>Other Income - IT</t>
        </is>
      </c>
      <c r="D110" s="2" t="inlineStr">
        <is>
          <t>Revenue</t>
        </is>
      </c>
      <c r="E110" s="2" t="inlineStr">
        <is>
          <t>IT</t>
        </is>
      </c>
      <c r="F110" s="4" t="n">
        <v>-9363</v>
      </c>
      <c r="G110" s="2" t="inlineStr">
        <is>
          <t>FY26 TB.csv</t>
        </is>
      </c>
      <c r="H110" s="2" t="inlineStr">
        <is>
          <t>Current Year</t>
        </is>
      </c>
    </row>
    <row r="111">
      <c r="A111" s="2" t="inlineStr">
        <is>
          <t>4343</t>
        </is>
      </c>
      <c r="B111" s="2" t="inlineStr">
        <is>
          <t>4343</t>
        </is>
      </c>
      <c r="C111" s="2" t="inlineStr">
        <is>
          <t>Returns and Allowances - Corporate</t>
        </is>
      </c>
      <c r="D111" s="2" t="inlineStr">
        <is>
          <t>Revenue</t>
        </is>
      </c>
      <c r="E111" s="2" t="inlineStr">
        <is>
          <t>Corporate</t>
        </is>
      </c>
      <c r="F111" s="4" t="n">
        <v>-21905</v>
      </c>
      <c r="G111" s="2" t="inlineStr">
        <is>
          <t>FY26 TB.csv</t>
        </is>
      </c>
      <c r="H111" s="2" t="inlineStr">
        <is>
          <t>Current Year</t>
        </is>
      </c>
    </row>
    <row r="112">
      <c r="A112" s="2" t="inlineStr">
        <is>
          <t>4352</t>
        </is>
      </c>
      <c r="B112" s="2" t="inlineStr">
        <is>
          <t>4352</t>
        </is>
      </c>
      <c r="C112" s="2" t="inlineStr">
        <is>
          <t>Other Income - Warehouse</t>
        </is>
      </c>
      <c r="D112" s="2" t="inlineStr">
        <is>
          <t>Revenue</t>
        </is>
      </c>
      <c r="E112" s="2" t="inlineStr">
        <is>
          <t>Warehouse</t>
        </is>
      </c>
      <c r="F112" s="4" t="n">
        <v>-30199</v>
      </c>
      <c r="G112" s="2" t="inlineStr">
        <is>
          <t>FY26 TB.csv</t>
        </is>
      </c>
      <c r="H112" s="2" t="inlineStr">
        <is>
          <t>Current Year</t>
        </is>
      </c>
    </row>
    <row r="113">
      <c r="A113" s="2" t="inlineStr">
        <is>
          <t>4361</t>
        </is>
      </c>
      <c r="B113" s="2" t="inlineStr">
        <is>
          <t>4361</t>
        </is>
      </c>
      <c r="C113" s="2" t="inlineStr">
        <is>
          <t>Returns and Allowances - Corporate</t>
        </is>
      </c>
      <c r="D113" s="2" t="inlineStr">
        <is>
          <t>Revenue</t>
        </is>
      </c>
      <c r="E113" s="2" t="inlineStr">
        <is>
          <t>Corporate</t>
        </is>
      </c>
      <c r="F113" s="4" t="n">
        <v>-13024</v>
      </c>
      <c r="G113" s="2" t="inlineStr">
        <is>
          <t>FY26 TB.csv</t>
        </is>
      </c>
      <c r="H113" s="2" t="inlineStr">
        <is>
          <t>Current Year</t>
        </is>
      </c>
    </row>
    <row r="114">
      <c r="A114" s="2" t="inlineStr">
        <is>
          <t>4374</t>
        </is>
      </c>
      <c r="B114" s="2" t="inlineStr">
        <is>
          <t>4374</t>
        </is>
      </c>
      <c r="C114" s="2" t="inlineStr">
        <is>
          <t>Discounts - Corporate</t>
        </is>
      </c>
      <c r="D114" s="2" t="inlineStr">
        <is>
          <t>Revenue</t>
        </is>
      </c>
      <c r="E114" s="2" t="inlineStr">
        <is>
          <t>Corporate</t>
        </is>
      </c>
      <c r="F114" s="4" t="n">
        <v>-36562</v>
      </c>
      <c r="G114" s="2" t="inlineStr">
        <is>
          <t>FY26 TB.csv</t>
        </is>
      </c>
      <c r="H114" s="2" t="inlineStr">
        <is>
          <t>Current Year</t>
        </is>
      </c>
    </row>
    <row r="115">
      <c r="A115" s="2" t="inlineStr">
        <is>
          <t>4384</t>
        </is>
      </c>
      <c r="B115" s="2" t="inlineStr">
        <is>
          <t>4384</t>
        </is>
      </c>
      <c r="C115" s="2" t="inlineStr">
        <is>
          <t>Other Income - Admin</t>
        </is>
      </c>
      <c r="D115" s="2" t="inlineStr">
        <is>
          <t>Revenue</t>
        </is>
      </c>
      <c r="E115" s="2" t="inlineStr">
        <is>
          <t>Admin</t>
        </is>
      </c>
      <c r="F115" s="4" t="n">
        <v>-56882</v>
      </c>
      <c r="G115" s="2" t="inlineStr">
        <is>
          <t>FY26 TB.csv</t>
        </is>
      </c>
      <c r="H115" s="2" t="inlineStr">
        <is>
          <t>Current Year</t>
        </is>
      </c>
    </row>
    <row r="116">
      <c r="A116" s="2" t="inlineStr">
        <is>
          <t>4391</t>
        </is>
      </c>
      <c r="B116" s="2" t="inlineStr">
        <is>
          <t>4391</t>
        </is>
      </c>
      <c r="C116" s="2" t="inlineStr">
        <is>
          <t>Product Revenue - IT</t>
        </is>
      </c>
      <c r="D116" s="2" t="inlineStr">
        <is>
          <t>Revenue</t>
        </is>
      </c>
      <c r="E116" s="2" t="inlineStr">
        <is>
          <t>IT</t>
        </is>
      </c>
      <c r="F116" s="4" t="n">
        <v>-17438</v>
      </c>
      <c r="G116" s="2" t="inlineStr">
        <is>
          <t>FY26 TB.csv</t>
        </is>
      </c>
      <c r="H116" s="2" t="inlineStr">
        <is>
          <t>Current Year</t>
        </is>
      </c>
    </row>
    <row r="117">
      <c r="A117" s="2" t="inlineStr">
        <is>
          <t>4401</t>
        </is>
      </c>
      <c r="B117" s="2" t="inlineStr">
        <is>
          <t>4401</t>
        </is>
      </c>
      <c r="C117" s="2" t="inlineStr">
        <is>
          <t>Other Income - Corporate</t>
        </is>
      </c>
      <c r="D117" s="2" t="inlineStr">
        <is>
          <t>Revenue</t>
        </is>
      </c>
      <c r="E117" s="2" t="inlineStr">
        <is>
          <t>Corporate</t>
        </is>
      </c>
      <c r="F117" s="4" t="n">
        <v>-169383</v>
      </c>
      <c r="G117" s="2" t="inlineStr">
        <is>
          <t>FY26 TB.csv</t>
        </is>
      </c>
      <c r="H117" s="2" t="inlineStr">
        <is>
          <t>Current Year</t>
        </is>
      </c>
    </row>
    <row r="118">
      <c r="A118" s="2" t="inlineStr">
        <is>
          <t>4412</t>
        </is>
      </c>
      <c r="B118" s="2" t="inlineStr">
        <is>
          <t>4412</t>
        </is>
      </c>
      <c r="C118" s="2" t="inlineStr">
        <is>
          <t>Discounts - IT</t>
        </is>
      </c>
      <c r="D118" s="2" t="inlineStr">
        <is>
          <t>Revenue</t>
        </is>
      </c>
      <c r="E118" s="2" t="inlineStr">
        <is>
          <t>IT</t>
        </is>
      </c>
      <c r="F118" s="4" t="n">
        <v>-656195</v>
      </c>
      <c r="G118" s="2" t="inlineStr">
        <is>
          <t>FY26 TB.csv</t>
        </is>
      </c>
      <c r="H118" s="2" t="inlineStr">
        <is>
          <t>Current Year</t>
        </is>
      </c>
    </row>
    <row r="119">
      <c r="A119" s="2" t="inlineStr">
        <is>
          <t>4420</t>
        </is>
      </c>
      <c r="B119" s="2" t="inlineStr">
        <is>
          <t>4420</t>
        </is>
      </c>
      <c r="C119" s="2" t="inlineStr">
        <is>
          <t>Other Income - Ops</t>
        </is>
      </c>
      <c r="D119" s="2" t="inlineStr">
        <is>
          <t>Revenue</t>
        </is>
      </c>
      <c r="E119" s="2" t="inlineStr">
        <is>
          <t>Ops</t>
        </is>
      </c>
      <c r="F119" s="4" t="n">
        <v>-36000</v>
      </c>
      <c r="G119" s="2" t="inlineStr">
        <is>
          <t>FY26 TB.csv</t>
        </is>
      </c>
      <c r="H119" s="2" t="inlineStr">
        <is>
          <t>Current Year</t>
        </is>
      </c>
    </row>
    <row r="120">
      <c r="A120" s="2" t="inlineStr">
        <is>
          <t>4432</t>
        </is>
      </c>
      <c r="B120" s="2" t="inlineStr">
        <is>
          <t>4432</t>
        </is>
      </c>
      <c r="C120" s="2" t="inlineStr">
        <is>
          <t>Returns and Allowances - Corporate</t>
        </is>
      </c>
      <c r="D120" s="2" t="inlineStr">
        <is>
          <t>Revenue</t>
        </is>
      </c>
      <c r="E120" s="2" t="inlineStr">
        <is>
          <t>Corporate</t>
        </is>
      </c>
      <c r="F120" s="4" t="n">
        <v>-28860</v>
      </c>
      <c r="G120" s="2" t="inlineStr">
        <is>
          <t>FY26 TB.csv</t>
        </is>
      </c>
      <c r="H120" s="2" t="inlineStr">
        <is>
          <t>Current Year</t>
        </is>
      </c>
    </row>
    <row r="121">
      <c r="A121" s="2" t="inlineStr">
        <is>
          <t>4442</t>
        </is>
      </c>
      <c r="B121" s="2" t="inlineStr">
        <is>
          <t>4442</t>
        </is>
      </c>
      <c r="C121" s="2" t="inlineStr">
        <is>
          <t>Discounts - Warehouse</t>
        </is>
      </c>
      <c r="D121" s="2" t="inlineStr">
        <is>
          <t>Revenue</t>
        </is>
      </c>
      <c r="E121" s="2" t="inlineStr">
        <is>
          <t>Warehouse</t>
        </is>
      </c>
      <c r="F121" s="4" t="n">
        <v>-19432</v>
      </c>
      <c r="G121" s="2" t="inlineStr">
        <is>
          <t>FY26 TB.csv</t>
        </is>
      </c>
      <c r="H121" s="2" t="inlineStr">
        <is>
          <t>Current Year</t>
        </is>
      </c>
    </row>
    <row r="122">
      <c r="A122" s="2" t="inlineStr">
        <is>
          <t>5005</t>
        </is>
      </c>
      <c r="B122" s="2" t="inlineStr">
        <is>
          <t>5005</t>
        </is>
      </c>
      <c r="C122" s="2" t="inlineStr">
        <is>
          <t>Materials - Warehouse</t>
        </is>
      </c>
      <c r="D122" s="2" t="inlineStr">
        <is>
          <t>COGS</t>
        </is>
      </c>
      <c r="E122" s="2" t="inlineStr">
        <is>
          <t>Warehouse</t>
        </is>
      </c>
      <c r="F122" s="4" t="n">
        <v>25747</v>
      </c>
      <c r="G122" s="2" t="inlineStr">
        <is>
          <t>FY26 TB.csv</t>
        </is>
      </c>
      <c r="H122" s="2" t="inlineStr">
        <is>
          <t>Current Year</t>
        </is>
      </c>
    </row>
    <row r="123">
      <c r="A123" s="2" t="inlineStr">
        <is>
          <t>5015</t>
        </is>
      </c>
      <c r="B123" s="2" t="inlineStr">
        <is>
          <t>5015</t>
        </is>
      </c>
      <c r="C123" s="2" t="inlineStr">
        <is>
          <t>Freight In - Ops</t>
        </is>
      </c>
      <c r="D123" s="2" t="inlineStr">
        <is>
          <t>COGS</t>
        </is>
      </c>
      <c r="E123" s="2" t="inlineStr">
        <is>
          <t>Ops</t>
        </is>
      </c>
      <c r="F123" s="4" t="n">
        <v>25358</v>
      </c>
      <c r="G123" s="2" t="inlineStr">
        <is>
          <t>FY26 TB.csv</t>
        </is>
      </c>
      <c r="H123" s="2" t="inlineStr">
        <is>
          <t>Current Year</t>
        </is>
      </c>
    </row>
    <row r="124">
      <c r="A124" s="2" t="inlineStr">
        <is>
          <t>5020</t>
        </is>
      </c>
      <c r="B124" s="2" t="inlineStr">
        <is>
          <t>5020</t>
        </is>
      </c>
      <c r="C124" s="2" t="inlineStr">
        <is>
          <t>Labor - Corporate</t>
        </is>
      </c>
      <c r="D124" s="2" t="inlineStr">
        <is>
          <t>COGS</t>
        </is>
      </c>
      <c r="E124" s="2" t="inlineStr">
        <is>
          <t>Corporate</t>
        </is>
      </c>
      <c r="F124" s="4" t="n">
        <v>250442</v>
      </c>
      <c r="G124" s="2" t="inlineStr">
        <is>
          <t>FY26 TB.csv</t>
        </is>
      </c>
      <c r="H124" s="2" t="inlineStr">
        <is>
          <t>Current Year</t>
        </is>
      </c>
    </row>
    <row r="125">
      <c r="A125" s="2" t="inlineStr">
        <is>
          <t>5031</t>
        </is>
      </c>
      <c r="B125" s="2" t="inlineStr">
        <is>
          <t>5031</t>
        </is>
      </c>
      <c r="C125" s="2" t="inlineStr">
        <is>
          <t>Freight In - Corporate</t>
        </is>
      </c>
      <c r="D125" s="2" t="inlineStr">
        <is>
          <t>COGS</t>
        </is>
      </c>
      <c r="E125" s="2" t="inlineStr">
        <is>
          <t>Corporate</t>
        </is>
      </c>
      <c r="F125" s="4" t="n">
        <v>15706</v>
      </c>
      <c r="G125" s="2" t="inlineStr">
        <is>
          <t>FY26 TB.csv</t>
        </is>
      </c>
      <c r="H125" s="2" t="inlineStr">
        <is>
          <t>Current Year</t>
        </is>
      </c>
    </row>
    <row r="126">
      <c r="A126" s="2" t="inlineStr">
        <is>
          <t>5042</t>
        </is>
      </c>
      <c r="B126" s="2" t="inlineStr">
        <is>
          <t>5042</t>
        </is>
      </c>
      <c r="C126" s="2" t="inlineStr">
        <is>
          <t>Labor - Warehouse</t>
        </is>
      </c>
      <c r="D126" s="2" t="inlineStr">
        <is>
          <t>COGS</t>
        </is>
      </c>
      <c r="E126" s="2" t="inlineStr">
        <is>
          <t>Warehouse</t>
        </is>
      </c>
      <c r="F126" s="4" t="n">
        <v>81508</v>
      </c>
      <c r="G126" s="2" t="inlineStr">
        <is>
          <t>FY26 TB.csv</t>
        </is>
      </c>
      <c r="H126" s="2" t="inlineStr">
        <is>
          <t>Current Year</t>
        </is>
      </c>
    </row>
    <row r="127">
      <c r="A127" s="2" t="inlineStr">
        <is>
          <t>5055</t>
        </is>
      </c>
      <c r="B127" s="2" t="inlineStr">
        <is>
          <t>5055</t>
        </is>
      </c>
      <c r="C127" s="2" t="inlineStr">
        <is>
          <t>Inventory Adjustments - Sales</t>
        </is>
      </c>
      <c r="D127" s="2" t="inlineStr">
        <is>
          <t>COGS</t>
        </is>
      </c>
      <c r="E127" s="2" t="inlineStr">
        <is>
          <t>Sales</t>
        </is>
      </c>
      <c r="F127" s="4" t="n">
        <v>40453</v>
      </c>
      <c r="G127" s="2" t="inlineStr">
        <is>
          <t>FY26 TB.csv</t>
        </is>
      </c>
      <c r="H127" s="2" t="inlineStr">
        <is>
          <t>Current Year</t>
        </is>
      </c>
    </row>
    <row r="128">
      <c r="A128" s="2" t="inlineStr">
        <is>
          <t>5062</t>
        </is>
      </c>
      <c r="B128" s="2" t="inlineStr">
        <is>
          <t>5062</t>
        </is>
      </c>
      <c r="C128" s="2" t="inlineStr">
        <is>
          <t>Inventory Adjustments - Warehouse</t>
        </is>
      </c>
      <c r="D128" s="2" t="inlineStr">
        <is>
          <t>COGS</t>
        </is>
      </c>
      <c r="E128" s="2" t="inlineStr">
        <is>
          <t>Warehouse</t>
        </is>
      </c>
      <c r="F128" s="4" t="n">
        <v>11340</v>
      </c>
      <c r="G128" s="2" t="inlineStr">
        <is>
          <t>FY26 TB.csv</t>
        </is>
      </c>
      <c r="H128" s="2" t="inlineStr">
        <is>
          <t>Current Year</t>
        </is>
      </c>
    </row>
    <row r="129">
      <c r="A129" s="2" t="inlineStr">
        <is>
          <t>5075</t>
        </is>
      </c>
      <c r="B129" s="2" t="inlineStr">
        <is>
          <t>5075</t>
        </is>
      </c>
      <c r="C129" s="2" t="inlineStr">
        <is>
          <t>Freight In - Corporate</t>
        </is>
      </c>
      <c r="D129" s="2" t="inlineStr">
        <is>
          <t>COGS</t>
        </is>
      </c>
      <c r="E129" s="2" t="inlineStr">
        <is>
          <t>Corporate</t>
        </is>
      </c>
      <c r="F129" s="4" t="n">
        <v>68229</v>
      </c>
      <c r="G129" s="2" t="inlineStr">
        <is>
          <t>FY26 TB.csv</t>
        </is>
      </c>
      <c r="H129" s="2" t="inlineStr">
        <is>
          <t>Current Year</t>
        </is>
      </c>
    </row>
    <row r="130">
      <c r="A130" s="2" t="inlineStr">
        <is>
          <t>5084</t>
        </is>
      </c>
      <c r="B130" s="2" t="inlineStr">
        <is>
          <t>5084</t>
        </is>
      </c>
      <c r="C130" s="2" t="inlineStr">
        <is>
          <t>Materials - Warehouse</t>
        </is>
      </c>
      <c r="D130" s="2" t="inlineStr">
        <is>
          <t>COGS</t>
        </is>
      </c>
      <c r="E130" s="2" t="inlineStr">
        <is>
          <t>Warehouse</t>
        </is>
      </c>
      <c r="F130" s="4" t="n">
        <v>20533</v>
      </c>
      <c r="G130" s="2" t="inlineStr">
        <is>
          <t>FY26 TB.csv</t>
        </is>
      </c>
      <c r="H130" s="2" t="inlineStr">
        <is>
          <t>Current Year</t>
        </is>
      </c>
    </row>
    <row r="131">
      <c r="A131" s="2" t="inlineStr">
        <is>
          <t>5092</t>
        </is>
      </c>
      <c r="B131" s="2" t="inlineStr">
        <is>
          <t>5092</t>
        </is>
      </c>
      <c r="C131" s="2" t="inlineStr">
        <is>
          <t>Inventory Adjustments - Corporate</t>
        </is>
      </c>
      <c r="D131" s="2" t="inlineStr">
        <is>
          <t>COGS</t>
        </is>
      </c>
      <c r="E131" s="2" t="inlineStr">
        <is>
          <t>Corporate</t>
        </is>
      </c>
      <c r="F131" s="4" t="n">
        <v>43814</v>
      </c>
      <c r="G131" s="2" t="inlineStr">
        <is>
          <t>FY26 TB.csv</t>
        </is>
      </c>
      <c r="H131" s="2" t="inlineStr">
        <is>
          <t>Current Year</t>
        </is>
      </c>
    </row>
    <row r="132">
      <c r="A132" s="2" t="inlineStr">
        <is>
          <t>5102</t>
        </is>
      </c>
      <c r="B132" s="2" t="inlineStr">
        <is>
          <t>5102</t>
        </is>
      </c>
      <c r="C132" s="2" t="inlineStr">
        <is>
          <t>Inventory Adjustments - IT</t>
        </is>
      </c>
      <c r="D132" s="2" t="inlineStr">
        <is>
          <t>COGS</t>
        </is>
      </c>
      <c r="E132" s="2" t="inlineStr">
        <is>
          <t>IT</t>
        </is>
      </c>
      <c r="F132" s="4" t="n">
        <v>149353</v>
      </c>
      <c r="G132" s="2" t="inlineStr">
        <is>
          <t>FY26 TB.csv</t>
        </is>
      </c>
      <c r="H132" s="2" t="inlineStr">
        <is>
          <t>Current Year</t>
        </is>
      </c>
    </row>
    <row r="133">
      <c r="A133" s="2" t="inlineStr">
        <is>
          <t>5115</t>
        </is>
      </c>
      <c r="B133" s="2" t="inlineStr">
        <is>
          <t>5115</t>
        </is>
      </c>
      <c r="C133" s="2" t="inlineStr">
        <is>
          <t>Labor - IT</t>
        </is>
      </c>
      <c r="D133" s="2" t="inlineStr">
        <is>
          <t>COGS</t>
        </is>
      </c>
      <c r="E133" s="2" t="inlineStr">
        <is>
          <t>IT</t>
        </is>
      </c>
      <c r="F133" s="4" t="n">
        <v>4671</v>
      </c>
      <c r="G133" s="2" t="inlineStr">
        <is>
          <t>FY26 TB.csv</t>
        </is>
      </c>
      <c r="H133" s="2" t="inlineStr">
        <is>
          <t>Current Year</t>
        </is>
      </c>
    </row>
    <row r="134">
      <c r="A134" s="2" t="inlineStr">
        <is>
          <t>5122</t>
        </is>
      </c>
      <c r="B134" s="2" t="inlineStr">
        <is>
          <t>5122</t>
        </is>
      </c>
      <c r="C134" s="2" t="inlineStr">
        <is>
          <t>Materials - Corporate</t>
        </is>
      </c>
      <c r="D134" s="2" t="inlineStr">
        <is>
          <t>COGS</t>
        </is>
      </c>
      <c r="E134" s="2" t="inlineStr">
        <is>
          <t>Corporate</t>
        </is>
      </c>
      <c r="F134" s="4" t="n">
        <v>14436</v>
      </c>
      <c r="G134" s="2" t="inlineStr">
        <is>
          <t>FY26 TB.csv</t>
        </is>
      </c>
      <c r="H134" s="2" t="inlineStr">
        <is>
          <t>Current Year</t>
        </is>
      </c>
    </row>
    <row r="135">
      <c r="A135" s="2" t="inlineStr">
        <is>
          <t>5135</t>
        </is>
      </c>
      <c r="B135" s="2" t="inlineStr">
        <is>
          <t>5135</t>
        </is>
      </c>
      <c r="C135" s="2" t="inlineStr">
        <is>
          <t>Freight In - Warehouse</t>
        </is>
      </c>
      <c r="D135" s="2" t="inlineStr">
        <is>
          <t>COGS</t>
        </is>
      </c>
      <c r="E135" s="2" t="inlineStr">
        <is>
          <t>Warehouse</t>
        </is>
      </c>
      <c r="F135" s="4" t="n">
        <v>23567</v>
      </c>
      <c r="G135" s="2" t="inlineStr">
        <is>
          <t>FY26 TB.csv</t>
        </is>
      </c>
      <c r="H135" s="2" t="inlineStr">
        <is>
          <t>Current Year</t>
        </is>
      </c>
    </row>
    <row r="136">
      <c r="A136" s="2" t="inlineStr">
        <is>
          <t>5145</t>
        </is>
      </c>
      <c r="B136" s="2" t="inlineStr">
        <is>
          <t>5145</t>
        </is>
      </c>
      <c r="C136" s="2" t="inlineStr">
        <is>
          <t>Inventory Adjustments - Admin</t>
        </is>
      </c>
      <c r="D136" s="2" t="inlineStr">
        <is>
          <t>COGS</t>
        </is>
      </c>
      <c r="E136" s="2" t="inlineStr">
        <is>
          <t>Admin</t>
        </is>
      </c>
      <c r="F136" s="4" t="n">
        <v>10995</v>
      </c>
      <c r="G136" s="2" t="inlineStr">
        <is>
          <t>FY26 TB.csv</t>
        </is>
      </c>
      <c r="H136" s="2" t="inlineStr">
        <is>
          <t>Current Year</t>
        </is>
      </c>
    </row>
    <row r="137">
      <c r="A137" s="2" t="inlineStr">
        <is>
          <t>5151</t>
        </is>
      </c>
      <c r="B137" s="2" t="inlineStr">
        <is>
          <t>5151</t>
        </is>
      </c>
      <c r="C137" s="2" t="inlineStr">
        <is>
          <t>Labor - Warehouse</t>
        </is>
      </c>
      <c r="D137" s="2" t="inlineStr">
        <is>
          <t>COGS</t>
        </is>
      </c>
      <c r="E137" s="2" t="inlineStr">
        <is>
          <t>Warehouse</t>
        </is>
      </c>
      <c r="F137" s="4" t="n">
        <v>108317</v>
      </c>
      <c r="G137" s="2" t="inlineStr">
        <is>
          <t>FY26 TB.csv</t>
        </is>
      </c>
      <c r="H137" s="2" t="inlineStr">
        <is>
          <t>Current Year</t>
        </is>
      </c>
    </row>
    <row r="138">
      <c r="A138" s="2" t="inlineStr">
        <is>
          <t>5161</t>
        </is>
      </c>
      <c r="B138" s="2" t="inlineStr">
        <is>
          <t>5161</t>
        </is>
      </c>
      <c r="C138" s="2" t="inlineStr">
        <is>
          <t>Materials - Sales</t>
        </is>
      </c>
      <c r="D138" s="2" t="inlineStr">
        <is>
          <t>COGS</t>
        </is>
      </c>
      <c r="E138" s="2" t="inlineStr">
        <is>
          <t>Sales</t>
        </is>
      </c>
      <c r="F138" s="4" t="n">
        <v>78140</v>
      </c>
      <c r="G138" s="2" t="inlineStr">
        <is>
          <t>FY26 TB.csv</t>
        </is>
      </c>
      <c r="H138" s="2" t="inlineStr">
        <is>
          <t>Current Year</t>
        </is>
      </c>
    </row>
    <row r="139">
      <c r="A139" s="2" t="inlineStr">
        <is>
          <t>5174</t>
        </is>
      </c>
      <c r="B139" s="2" t="inlineStr">
        <is>
          <t>5174</t>
        </is>
      </c>
      <c r="C139" s="2" t="inlineStr">
        <is>
          <t>Freight In - Ops</t>
        </is>
      </c>
      <c r="D139" s="2" t="inlineStr">
        <is>
          <t>COGS</t>
        </is>
      </c>
      <c r="E139" s="2" t="inlineStr">
        <is>
          <t>Ops</t>
        </is>
      </c>
      <c r="F139" s="4" t="n">
        <v>27994</v>
      </c>
      <c r="G139" s="2" t="inlineStr">
        <is>
          <t>FY26 TB.csv</t>
        </is>
      </c>
      <c r="H139" s="2" t="inlineStr">
        <is>
          <t>Current Year</t>
        </is>
      </c>
    </row>
    <row r="140">
      <c r="A140" s="2" t="inlineStr">
        <is>
          <t>5182</t>
        </is>
      </c>
      <c r="B140" s="2" t="inlineStr">
        <is>
          <t>5182</t>
        </is>
      </c>
      <c r="C140" s="2" t="inlineStr">
        <is>
          <t>Inventory Adjustments - IT</t>
        </is>
      </c>
      <c r="D140" s="2" t="inlineStr">
        <is>
          <t>COGS</t>
        </is>
      </c>
      <c r="E140" s="2" t="inlineStr">
        <is>
          <t>IT</t>
        </is>
      </c>
      <c r="F140" s="4" t="n">
        <v>41042</v>
      </c>
      <c r="G140" s="2" t="inlineStr">
        <is>
          <t>FY26 TB.csv</t>
        </is>
      </c>
      <c r="H140" s="2" t="inlineStr">
        <is>
          <t>Current Year</t>
        </is>
      </c>
    </row>
    <row r="141">
      <c r="A141" s="2" t="inlineStr">
        <is>
          <t>5195</t>
        </is>
      </c>
      <c r="B141" s="2" t="inlineStr">
        <is>
          <t>5195</t>
        </is>
      </c>
      <c r="C141" s="2" t="inlineStr">
        <is>
          <t>Materials - Corporate</t>
        </is>
      </c>
      <c r="D141" s="2" t="inlineStr">
        <is>
          <t>COGS</t>
        </is>
      </c>
      <c r="E141" s="2" t="inlineStr">
        <is>
          <t>Corporate</t>
        </is>
      </c>
      <c r="F141" s="4" t="n">
        <v>41555</v>
      </c>
      <c r="G141" s="2" t="inlineStr">
        <is>
          <t>FY26 TB.csv</t>
        </is>
      </c>
      <c r="H141" s="2" t="inlineStr">
        <is>
          <t>Current Year</t>
        </is>
      </c>
    </row>
    <row r="142">
      <c r="A142" s="2" t="inlineStr">
        <is>
          <t>5205</t>
        </is>
      </c>
      <c r="B142" s="2" t="inlineStr">
        <is>
          <t>5205</t>
        </is>
      </c>
      <c r="C142" s="2" t="inlineStr">
        <is>
          <t>Materials - IT</t>
        </is>
      </c>
      <c r="D142" s="2" t="inlineStr">
        <is>
          <t>COGS</t>
        </is>
      </c>
      <c r="E142" s="2" t="inlineStr">
        <is>
          <t>IT</t>
        </is>
      </c>
      <c r="F142" s="4" t="n">
        <v>5183</v>
      </c>
      <c r="G142" s="2" t="inlineStr">
        <is>
          <t>FY26 TB.csv</t>
        </is>
      </c>
      <c r="H142" s="2" t="inlineStr">
        <is>
          <t>Current Year</t>
        </is>
      </c>
    </row>
    <row r="143">
      <c r="A143" s="2" t="inlineStr">
        <is>
          <t>5214</t>
        </is>
      </c>
      <c r="B143" s="2" t="inlineStr">
        <is>
          <t>5214</t>
        </is>
      </c>
      <c r="C143" s="2" t="inlineStr">
        <is>
          <t>Freight In - IT</t>
        </is>
      </c>
      <c r="D143" s="2" t="inlineStr">
        <is>
          <t>COGS</t>
        </is>
      </c>
      <c r="E143" s="2" t="inlineStr">
        <is>
          <t>IT</t>
        </is>
      </c>
      <c r="F143" s="4" t="n">
        <v>44615</v>
      </c>
      <c r="G143" s="2" t="inlineStr">
        <is>
          <t>FY26 TB.csv</t>
        </is>
      </c>
      <c r="H143" s="2" t="inlineStr">
        <is>
          <t>Current Year</t>
        </is>
      </c>
    </row>
    <row r="144">
      <c r="A144" s="2" t="inlineStr">
        <is>
          <t>5225</t>
        </is>
      </c>
      <c r="B144" s="2" t="inlineStr">
        <is>
          <t>5225</t>
        </is>
      </c>
      <c r="C144" s="2" t="inlineStr">
        <is>
          <t>Materials - Corporate</t>
        </is>
      </c>
      <c r="D144" s="2" t="inlineStr">
        <is>
          <t>COGS</t>
        </is>
      </c>
      <c r="E144" s="2" t="inlineStr">
        <is>
          <t>Corporate</t>
        </is>
      </c>
      <c r="F144" s="4" t="n">
        <v>196718</v>
      </c>
      <c r="G144" s="2" t="inlineStr">
        <is>
          <t>FY26 TB.csv</t>
        </is>
      </c>
      <c r="H144" s="2" t="inlineStr">
        <is>
          <t>Current Year</t>
        </is>
      </c>
    </row>
    <row r="145">
      <c r="A145" s="2" t="inlineStr">
        <is>
          <t>5232</t>
        </is>
      </c>
      <c r="B145" s="2" t="inlineStr">
        <is>
          <t>5232</t>
        </is>
      </c>
      <c r="C145" s="2" t="inlineStr">
        <is>
          <t>Labor - IT</t>
        </is>
      </c>
      <c r="D145" s="2" t="inlineStr">
        <is>
          <t>COGS</t>
        </is>
      </c>
      <c r="E145" s="2" t="inlineStr">
        <is>
          <t>IT</t>
        </is>
      </c>
      <c r="F145" s="4" t="n">
        <v>109355</v>
      </c>
      <c r="G145" s="2" t="inlineStr">
        <is>
          <t>FY26 TB.csv</t>
        </is>
      </c>
      <c r="H145" s="2" t="inlineStr">
        <is>
          <t>Current Year</t>
        </is>
      </c>
    </row>
    <row r="146">
      <c r="A146" s="2" t="inlineStr">
        <is>
          <t>5242</t>
        </is>
      </c>
      <c r="B146" s="2" t="inlineStr">
        <is>
          <t>5242</t>
        </is>
      </c>
      <c r="C146" s="2" t="inlineStr">
        <is>
          <t>Freight In - Corporate</t>
        </is>
      </c>
      <c r="D146" s="2" t="inlineStr">
        <is>
          <t>COGS</t>
        </is>
      </c>
      <c r="E146" s="2" t="inlineStr">
        <is>
          <t>Corporate</t>
        </is>
      </c>
      <c r="F146" s="4" t="n">
        <v>36519</v>
      </c>
      <c r="G146" s="2" t="inlineStr">
        <is>
          <t>FY26 TB.csv</t>
        </is>
      </c>
      <c r="H146" s="2" t="inlineStr">
        <is>
          <t>Current Year</t>
        </is>
      </c>
    </row>
    <row r="147">
      <c r="A147" s="2" t="inlineStr">
        <is>
          <t>5250</t>
        </is>
      </c>
      <c r="B147" s="2" t="inlineStr">
        <is>
          <t>5250</t>
        </is>
      </c>
      <c r="C147" s="2" t="inlineStr">
        <is>
          <t>Freight In - Corporate</t>
        </is>
      </c>
      <c r="D147" s="2" t="inlineStr">
        <is>
          <t>COGS</t>
        </is>
      </c>
      <c r="E147" s="2" t="inlineStr">
        <is>
          <t>Corporate</t>
        </is>
      </c>
      <c r="F147" s="4" t="n">
        <v>14243</v>
      </c>
      <c r="G147" s="2" t="inlineStr">
        <is>
          <t>FY26 TB.csv</t>
        </is>
      </c>
      <c r="H147" s="2" t="inlineStr">
        <is>
          <t>Current Year</t>
        </is>
      </c>
    </row>
    <row r="148">
      <c r="A148" s="2" t="inlineStr">
        <is>
          <t>5264</t>
        </is>
      </c>
      <c r="B148" s="2" t="inlineStr">
        <is>
          <t>5264</t>
        </is>
      </c>
      <c r="C148" s="2" t="inlineStr">
        <is>
          <t>Materials - Sales</t>
        </is>
      </c>
      <c r="D148" s="2" t="inlineStr">
        <is>
          <t>COGS</t>
        </is>
      </c>
      <c r="E148" s="2" t="inlineStr">
        <is>
          <t>Sales</t>
        </is>
      </c>
      <c r="F148" s="4" t="n">
        <v>27461</v>
      </c>
      <c r="G148" s="2" t="inlineStr">
        <is>
          <t>FY26 TB.csv</t>
        </is>
      </c>
      <c r="H148" s="2" t="inlineStr">
        <is>
          <t>Current Year</t>
        </is>
      </c>
    </row>
    <row r="149">
      <c r="A149" s="2" t="inlineStr">
        <is>
          <t>5270</t>
        </is>
      </c>
      <c r="B149" s="2" t="inlineStr">
        <is>
          <t>5270</t>
        </is>
      </c>
      <c r="C149" s="2" t="inlineStr">
        <is>
          <t>Inventory Adjustments - Ops</t>
        </is>
      </c>
      <c r="D149" s="2" t="inlineStr">
        <is>
          <t>COGS</t>
        </is>
      </c>
      <c r="E149" s="2" t="inlineStr">
        <is>
          <t>Ops</t>
        </is>
      </c>
      <c r="F149" s="4" t="n">
        <v>18618</v>
      </c>
      <c r="G149" s="2" t="inlineStr">
        <is>
          <t>FY26 TB.csv</t>
        </is>
      </c>
      <c r="H149" s="2" t="inlineStr">
        <is>
          <t>Current Year</t>
        </is>
      </c>
    </row>
    <row r="150">
      <c r="A150" s="2" t="inlineStr">
        <is>
          <t>5284</t>
        </is>
      </c>
      <c r="B150" s="2" t="inlineStr">
        <is>
          <t>5284</t>
        </is>
      </c>
      <c r="C150" s="2" t="inlineStr">
        <is>
          <t>Labor - IT</t>
        </is>
      </c>
      <c r="D150" s="2" t="inlineStr">
        <is>
          <t>COGS</t>
        </is>
      </c>
      <c r="E150" s="2" t="inlineStr">
        <is>
          <t>IT</t>
        </is>
      </c>
      <c r="F150" s="4" t="n">
        <v>76362</v>
      </c>
      <c r="G150" s="2" t="inlineStr">
        <is>
          <t>FY26 TB.csv</t>
        </is>
      </c>
      <c r="H150" s="2" t="inlineStr">
        <is>
          <t>Current Year</t>
        </is>
      </c>
    </row>
    <row r="151">
      <c r="A151" s="2" t="inlineStr">
        <is>
          <t>5295</t>
        </is>
      </c>
      <c r="B151" s="2" t="inlineStr">
        <is>
          <t>5295</t>
        </is>
      </c>
      <c r="C151" s="2" t="inlineStr">
        <is>
          <t>Labor - Sales</t>
        </is>
      </c>
      <c r="D151" s="2" t="inlineStr">
        <is>
          <t>COGS</t>
        </is>
      </c>
      <c r="E151" s="2" t="inlineStr">
        <is>
          <t>Sales</t>
        </is>
      </c>
      <c r="F151" s="4" t="n">
        <v>20159</v>
      </c>
      <c r="G151" s="2" t="inlineStr">
        <is>
          <t>FY26 TB.csv</t>
        </is>
      </c>
      <c r="H151" s="2" t="inlineStr">
        <is>
          <t>Current Year</t>
        </is>
      </c>
    </row>
    <row r="152">
      <c r="A152" s="2" t="inlineStr">
        <is>
          <t>5305</t>
        </is>
      </c>
      <c r="B152" s="2" t="inlineStr">
        <is>
          <t>5305</t>
        </is>
      </c>
      <c r="C152" s="2" t="inlineStr">
        <is>
          <t>Materials - Ops</t>
        </is>
      </c>
      <c r="D152" s="2" t="inlineStr">
        <is>
          <t>COGS</t>
        </is>
      </c>
      <c r="E152" s="2" t="inlineStr">
        <is>
          <t>Ops</t>
        </is>
      </c>
      <c r="F152" s="4" t="n">
        <v>54096</v>
      </c>
      <c r="G152" s="2" t="inlineStr">
        <is>
          <t>FY26 TB.csv</t>
        </is>
      </c>
      <c r="H152" s="2" t="inlineStr">
        <is>
          <t>Current Year</t>
        </is>
      </c>
    </row>
    <row r="153">
      <c r="A153" s="2" t="inlineStr">
        <is>
          <t>5312</t>
        </is>
      </c>
      <c r="B153" s="2" t="inlineStr">
        <is>
          <t>5312</t>
        </is>
      </c>
      <c r="C153" s="2" t="inlineStr">
        <is>
          <t>Inventory Adjustments - IT</t>
        </is>
      </c>
      <c r="D153" s="2" t="inlineStr">
        <is>
          <t>COGS</t>
        </is>
      </c>
      <c r="E153" s="2" t="inlineStr">
        <is>
          <t>IT</t>
        </is>
      </c>
      <c r="F153" s="4" t="n">
        <v>20638</v>
      </c>
      <c r="G153" s="2" t="inlineStr">
        <is>
          <t>FY26 TB.csv</t>
        </is>
      </c>
      <c r="H153" s="2" t="inlineStr">
        <is>
          <t>Current Year</t>
        </is>
      </c>
    </row>
    <row r="154">
      <c r="A154" s="2" t="inlineStr">
        <is>
          <t>5324</t>
        </is>
      </c>
      <c r="B154" s="2" t="inlineStr">
        <is>
          <t>5324</t>
        </is>
      </c>
      <c r="C154" s="2" t="inlineStr">
        <is>
          <t>Labor - Ops</t>
        </is>
      </c>
      <c r="D154" s="2" t="inlineStr">
        <is>
          <t>COGS</t>
        </is>
      </c>
      <c r="E154" s="2" t="inlineStr">
        <is>
          <t>Ops</t>
        </is>
      </c>
      <c r="F154" s="4" t="n">
        <v>34838</v>
      </c>
      <c r="G154" s="2" t="inlineStr">
        <is>
          <t>FY26 TB.csv</t>
        </is>
      </c>
      <c r="H154" s="2" t="inlineStr">
        <is>
          <t>Current Year</t>
        </is>
      </c>
    </row>
    <row r="155">
      <c r="A155" s="2" t="inlineStr">
        <is>
          <t>5330</t>
        </is>
      </c>
      <c r="B155" s="2" t="inlineStr">
        <is>
          <t>5330</t>
        </is>
      </c>
      <c r="C155" s="2" t="inlineStr">
        <is>
          <t>Labor - Warehouse</t>
        </is>
      </c>
      <c r="D155" s="2" t="inlineStr">
        <is>
          <t>COGS</t>
        </is>
      </c>
      <c r="E155" s="2" t="inlineStr">
        <is>
          <t>Warehouse</t>
        </is>
      </c>
      <c r="F155" s="4" t="n">
        <v>32736</v>
      </c>
      <c r="G155" s="2" t="inlineStr">
        <is>
          <t>FY26 TB.csv</t>
        </is>
      </c>
      <c r="H155" s="2" t="inlineStr">
        <is>
          <t>Current Year</t>
        </is>
      </c>
    </row>
    <row r="156">
      <c r="A156" s="2" t="inlineStr">
        <is>
          <t>5341</t>
        </is>
      </c>
      <c r="B156" s="2" t="inlineStr">
        <is>
          <t>5341</t>
        </is>
      </c>
      <c r="C156" s="2" t="inlineStr">
        <is>
          <t>Freight In - Admin</t>
        </is>
      </c>
      <c r="D156" s="2" t="inlineStr">
        <is>
          <t>COGS</t>
        </is>
      </c>
      <c r="E156" s="2" t="inlineStr">
        <is>
          <t>Admin</t>
        </is>
      </c>
      <c r="F156" s="4" t="n">
        <v>22650</v>
      </c>
      <c r="G156" s="2" t="inlineStr">
        <is>
          <t>FY26 TB.csv</t>
        </is>
      </c>
      <c r="H156" s="2" t="inlineStr">
        <is>
          <t>Current Year</t>
        </is>
      </c>
    </row>
    <row r="157">
      <c r="A157" s="2" t="inlineStr">
        <is>
          <t>5352</t>
        </is>
      </c>
      <c r="B157" s="2" t="inlineStr">
        <is>
          <t>5352</t>
        </is>
      </c>
      <c r="C157" s="2" t="inlineStr">
        <is>
          <t>Freight In - Sales</t>
        </is>
      </c>
      <c r="D157" s="2" t="inlineStr">
        <is>
          <t>COGS</t>
        </is>
      </c>
      <c r="E157" s="2" t="inlineStr">
        <is>
          <t>Sales</t>
        </is>
      </c>
      <c r="F157" s="4" t="n">
        <v>10476</v>
      </c>
      <c r="G157" s="2" t="inlineStr">
        <is>
          <t>FY26 TB.csv</t>
        </is>
      </c>
      <c r="H157" s="2" t="inlineStr">
        <is>
          <t>Current Year</t>
        </is>
      </c>
    </row>
    <row r="158">
      <c r="A158" s="2" t="inlineStr">
        <is>
          <t>5364</t>
        </is>
      </c>
      <c r="B158" s="2" t="inlineStr">
        <is>
          <t>5364</t>
        </is>
      </c>
      <c r="C158" s="2" t="inlineStr">
        <is>
          <t>Labor - Warehouse</t>
        </is>
      </c>
      <c r="D158" s="2" t="inlineStr">
        <is>
          <t>COGS</t>
        </is>
      </c>
      <c r="E158" s="2" t="inlineStr">
        <is>
          <t>Warehouse</t>
        </is>
      </c>
      <c r="F158" s="4" t="n">
        <v>58661</v>
      </c>
      <c r="G158" s="2" t="inlineStr">
        <is>
          <t>FY26 TB.csv</t>
        </is>
      </c>
      <c r="H158" s="2" t="inlineStr">
        <is>
          <t>Current Year</t>
        </is>
      </c>
    </row>
    <row r="159">
      <c r="A159" s="2" t="inlineStr">
        <is>
          <t>5370</t>
        </is>
      </c>
      <c r="B159" s="2" t="inlineStr">
        <is>
          <t>5370</t>
        </is>
      </c>
      <c r="C159" s="2" t="inlineStr">
        <is>
          <t>Materials - IT</t>
        </is>
      </c>
      <c r="D159" s="2" t="inlineStr">
        <is>
          <t>COGS</t>
        </is>
      </c>
      <c r="E159" s="2" t="inlineStr">
        <is>
          <t>IT</t>
        </is>
      </c>
      <c r="F159" s="4" t="n">
        <v>176448</v>
      </c>
      <c r="G159" s="2" t="inlineStr">
        <is>
          <t>FY26 TB.csv</t>
        </is>
      </c>
      <c r="H159" s="2" t="inlineStr">
        <is>
          <t>Current Year</t>
        </is>
      </c>
    </row>
    <row r="160">
      <c r="A160" s="2" t="inlineStr">
        <is>
          <t>5381</t>
        </is>
      </c>
      <c r="B160" s="2" t="inlineStr">
        <is>
          <t>5381</t>
        </is>
      </c>
      <c r="C160" s="2" t="inlineStr">
        <is>
          <t>Inventory Adjustments - Admin</t>
        </is>
      </c>
      <c r="D160" s="2" t="inlineStr">
        <is>
          <t>COGS</t>
        </is>
      </c>
      <c r="E160" s="2" t="inlineStr">
        <is>
          <t>Admin</t>
        </is>
      </c>
      <c r="F160" s="4" t="n">
        <v>35573</v>
      </c>
      <c r="G160" s="2" t="inlineStr">
        <is>
          <t>FY26 TB.csv</t>
        </is>
      </c>
      <c r="H160" s="2" t="inlineStr">
        <is>
          <t>Current Year</t>
        </is>
      </c>
    </row>
    <row r="161">
      <c r="A161" s="2" t="inlineStr">
        <is>
          <t>5394</t>
        </is>
      </c>
      <c r="B161" s="2" t="inlineStr">
        <is>
          <t>5394</t>
        </is>
      </c>
      <c r="C161" s="2" t="inlineStr">
        <is>
          <t>Labor - Admin</t>
        </is>
      </c>
      <c r="D161" s="2" t="inlineStr">
        <is>
          <t>COGS</t>
        </is>
      </c>
      <c r="E161" s="2" t="inlineStr">
        <is>
          <t>Admin</t>
        </is>
      </c>
      <c r="F161" s="4" t="n">
        <v>38861</v>
      </c>
      <c r="G161" s="2" t="inlineStr">
        <is>
          <t>FY26 TB.csv</t>
        </is>
      </c>
      <c r="H161" s="2" t="inlineStr">
        <is>
          <t>Current Year</t>
        </is>
      </c>
    </row>
    <row r="162">
      <c r="A162" s="2" t="inlineStr">
        <is>
          <t>5405</t>
        </is>
      </c>
      <c r="B162" s="2" t="inlineStr">
        <is>
          <t>5405</t>
        </is>
      </c>
      <c r="C162" s="2" t="inlineStr">
        <is>
          <t>Freight In - Corporate</t>
        </is>
      </c>
      <c r="D162" s="2" t="inlineStr">
        <is>
          <t>COGS</t>
        </is>
      </c>
      <c r="E162" s="2" t="inlineStr">
        <is>
          <t>Corporate</t>
        </is>
      </c>
      <c r="F162" s="4" t="n">
        <v>69565</v>
      </c>
      <c r="G162" s="2" t="inlineStr">
        <is>
          <t>FY26 TB.csv</t>
        </is>
      </c>
      <c r="H162" s="2" t="inlineStr">
        <is>
          <t>Current Year</t>
        </is>
      </c>
    </row>
    <row r="163">
      <c r="A163" s="2" t="inlineStr">
        <is>
          <t>5410</t>
        </is>
      </c>
      <c r="B163" s="2" t="inlineStr">
        <is>
          <t>5410</t>
        </is>
      </c>
      <c r="C163" s="2" t="inlineStr">
        <is>
          <t>Labor - Corporate</t>
        </is>
      </c>
      <c r="D163" s="2" t="inlineStr">
        <is>
          <t>COGS</t>
        </is>
      </c>
      <c r="E163" s="2" t="inlineStr">
        <is>
          <t>Corporate</t>
        </is>
      </c>
      <c r="F163" s="4" t="n">
        <v>42717</v>
      </c>
      <c r="G163" s="2" t="inlineStr">
        <is>
          <t>FY26 TB.csv</t>
        </is>
      </c>
      <c r="H163" s="2" t="inlineStr">
        <is>
          <t>Current Year</t>
        </is>
      </c>
    </row>
    <row r="164">
      <c r="A164" s="2" t="inlineStr">
        <is>
          <t>5422</t>
        </is>
      </c>
      <c r="B164" s="2" t="inlineStr">
        <is>
          <t>5422</t>
        </is>
      </c>
      <c r="C164" s="2" t="inlineStr">
        <is>
          <t>Freight In - Corporate</t>
        </is>
      </c>
      <c r="D164" s="2" t="inlineStr">
        <is>
          <t>COGS</t>
        </is>
      </c>
      <c r="E164" s="2" t="inlineStr">
        <is>
          <t>Corporate</t>
        </is>
      </c>
      <c r="F164" s="4" t="n">
        <v>31699</v>
      </c>
      <c r="G164" s="2" t="inlineStr">
        <is>
          <t>FY26 TB.csv</t>
        </is>
      </c>
      <c r="H164" s="2" t="inlineStr">
        <is>
          <t>Current Year</t>
        </is>
      </c>
    </row>
    <row r="165">
      <c r="A165" s="2" t="inlineStr">
        <is>
          <t>5433</t>
        </is>
      </c>
      <c r="B165" s="2" t="inlineStr">
        <is>
          <t>5433</t>
        </is>
      </c>
      <c r="C165" s="2" t="inlineStr">
        <is>
          <t>Materials - Sales</t>
        </is>
      </c>
      <c r="D165" s="2" t="inlineStr">
        <is>
          <t>COGS</t>
        </is>
      </c>
      <c r="E165" s="2" t="inlineStr">
        <is>
          <t>Sales</t>
        </is>
      </c>
      <c r="F165" s="4" t="n">
        <v>38333</v>
      </c>
      <c r="G165" s="2" t="inlineStr">
        <is>
          <t>FY26 TB.csv</t>
        </is>
      </c>
      <c r="H165" s="2" t="inlineStr">
        <is>
          <t>Current Year</t>
        </is>
      </c>
    </row>
    <row r="166">
      <c r="A166" s="2" t="inlineStr">
        <is>
          <t>5444</t>
        </is>
      </c>
      <c r="B166" s="2" t="inlineStr">
        <is>
          <t>5444</t>
        </is>
      </c>
      <c r="C166" s="2" t="inlineStr">
        <is>
          <t>Inventory Adjustments - Warehouse</t>
        </is>
      </c>
      <c r="D166" s="2" t="inlineStr">
        <is>
          <t>COGS</t>
        </is>
      </c>
      <c r="E166" s="2" t="inlineStr">
        <is>
          <t>Warehouse</t>
        </is>
      </c>
      <c r="F166" s="4" t="n">
        <v>48381</v>
      </c>
      <c r="G166" s="2" t="inlineStr">
        <is>
          <t>FY26 TB.csv</t>
        </is>
      </c>
      <c r="H166" s="2" t="inlineStr">
        <is>
          <t>Current Year</t>
        </is>
      </c>
    </row>
    <row r="167">
      <c r="A167" s="2" t="inlineStr">
        <is>
          <t>6000</t>
        </is>
      </c>
      <c r="B167" s="2" t="inlineStr">
        <is>
          <t>6000</t>
        </is>
      </c>
      <c r="C167" s="2" t="inlineStr">
        <is>
          <t>Salaries - IT</t>
        </is>
      </c>
      <c r="D167" s="2" t="inlineStr">
        <is>
          <t>Operating Expenses</t>
        </is>
      </c>
      <c r="E167" s="2" t="inlineStr">
        <is>
          <t>IT</t>
        </is>
      </c>
      <c r="F167" s="4" t="n">
        <v>51810</v>
      </c>
      <c r="G167" s="2" t="inlineStr">
        <is>
          <t>FY26 TB.csv</t>
        </is>
      </c>
      <c r="H167" s="2" t="inlineStr">
        <is>
          <t>Current Year</t>
        </is>
      </c>
    </row>
    <row r="168">
      <c r="A168" s="2" t="inlineStr">
        <is>
          <t>6012</t>
        </is>
      </c>
      <c r="B168" s="2" t="inlineStr">
        <is>
          <t>6012</t>
        </is>
      </c>
      <c r="C168" s="2" t="inlineStr">
        <is>
          <t>Marketing - Sales</t>
        </is>
      </c>
      <c r="D168" s="2" t="inlineStr">
        <is>
          <t>Operating Expenses</t>
        </is>
      </c>
      <c r="E168" s="2" t="inlineStr">
        <is>
          <t>Sales</t>
        </is>
      </c>
      <c r="F168" s="4" t="n">
        <v>17556</v>
      </c>
      <c r="G168" s="2" t="inlineStr">
        <is>
          <t>FY26 TB.csv</t>
        </is>
      </c>
      <c r="H168" s="2" t="inlineStr">
        <is>
          <t>Current Year</t>
        </is>
      </c>
    </row>
    <row r="169">
      <c r="A169" s="2" t="inlineStr">
        <is>
          <t>6022</t>
        </is>
      </c>
      <c r="B169" s="2" t="inlineStr">
        <is>
          <t>6022</t>
        </is>
      </c>
      <c r="C169" s="2" t="inlineStr">
        <is>
          <t>Marketing - Admin</t>
        </is>
      </c>
      <c r="D169" s="2" t="inlineStr">
        <is>
          <t>Operating Expenses</t>
        </is>
      </c>
      <c r="E169" s="2" t="inlineStr">
        <is>
          <t>Admin</t>
        </is>
      </c>
      <c r="F169" s="4" t="n">
        <v>15173</v>
      </c>
      <c r="G169" s="2" t="inlineStr">
        <is>
          <t>FY26 TB.csv</t>
        </is>
      </c>
      <c r="H169" s="2" t="inlineStr">
        <is>
          <t>Current Year</t>
        </is>
      </c>
    </row>
    <row r="170">
      <c r="A170" s="2" t="inlineStr">
        <is>
          <t>6030</t>
        </is>
      </c>
      <c r="B170" s="2" t="inlineStr">
        <is>
          <t>6030</t>
        </is>
      </c>
      <c r="C170" s="2" t="inlineStr">
        <is>
          <t>Utilities - Sales</t>
        </is>
      </c>
      <c r="D170" s="2" t="inlineStr">
        <is>
          <t>Operating Expenses</t>
        </is>
      </c>
      <c r="E170" s="2" t="inlineStr">
        <is>
          <t>Sales</t>
        </is>
      </c>
      <c r="F170" s="4" t="n">
        <v>50590</v>
      </c>
      <c r="G170" s="2" t="inlineStr">
        <is>
          <t>FY26 TB.csv</t>
        </is>
      </c>
      <c r="H170" s="2" t="inlineStr">
        <is>
          <t>Current Year</t>
        </is>
      </c>
    </row>
    <row r="171">
      <c r="A171" s="2" t="inlineStr">
        <is>
          <t>6040</t>
        </is>
      </c>
      <c r="B171" s="2" t="inlineStr">
        <is>
          <t>6040</t>
        </is>
      </c>
      <c r="C171" s="2" t="inlineStr">
        <is>
          <t>Office Supplies - Corporate</t>
        </is>
      </c>
      <c r="D171" s="2" t="inlineStr">
        <is>
          <t>Operating Expenses</t>
        </is>
      </c>
      <c r="E171" s="2" t="inlineStr">
        <is>
          <t>Corporate</t>
        </is>
      </c>
      <c r="F171" s="4" t="n">
        <v>29827</v>
      </c>
      <c r="G171" s="2" t="inlineStr">
        <is>
          <t>FY26 TB.csv</t>
        </is>
      </c>
      <c r="H171" s="2" t="inlineStr">
        <is>
          <t>Current Year</t>
        </is>
      </c>
    </row>
    <row r="172">
      <c r="A172" s="2" t="inlineStr">
        <is>
          <t>6055</t>
        </is>
      </c>
      <c r="B172" s="2" t="inlineStr">
        <is>
          <t>6055</t>
        </is>
      </c>
      <c r="C172" s="2" t="inlineStr">
        <is>
          <t>Software - Admin</t>
        </is>
      </c>
      <c r="D172" s="2" t="inlineStr">
        <is>
          <t>Operating Expenses</t>
        </is>
      </c>
      <c r="E172" s="2" t="inlineStr">
        <is>
          <t>Admin</t>
        </is>
      </c>
      <c r="F172" s="4" t="n">
        <v>56933</v>
      </c>
      <c r="G172" s="2" t="inlineStr">
        <is>
          <t>FY26 TB.csv</t>
        </is>
      </c>
      <c r="H172" s="2" t="inlineStr">
        <is>
          <t>Current Year</t>
        </is>
      </c>
    </row>
    <row r="173">
      <c r="A173" s="2" t="inlineStr">
        <is>
          <t>6063</t>
        </is>
      </c>
      <c r="B173" s="2" t="inlineStr">
        <is>
          <t>6063</t>
        </is>
      </c>
      <c r="C173" s="2" t="inlineStr">
        <is>
          <t>Insurance - Sales</t>
        </is>
      </c>
      <c r="D173" s="2" t="inlineStr">
        <is>
          <t>Operating Expenses</t>
        </is>
      </c>
      <c r="E173" s="2" t="inlineStr">
        <is>
          <t>Sales</t>
        </is>
      </c>
      <c r="F173" s="4" t="n">
        <v>19754</v>
      </c>
      <c r="G173" s="2" t="inlineStr">
        <is>
          <t>FY26 TB.csv</t>
        </is>
      </c>
      <c r="H173" s="2" t="inlineStr">
        <is>
          <t>Current Year</t>
        </is>
      </c>
    </row>
    <row r="174">
      <c r="A174" s="2" t="inlineStr">
        <is>
          <t>6074</t>
        </is>
      </c>
      <c r="B174" s="2" t="inlineStr">
        <is>
          <t>6074</t>
        </is>
      </c>
      <c r="C174" s="2" t="inlineStr">
        <is>
          <t>Software - Corporate</t>
        </is>
      </c>
      <c r="D174" s="2" t="inlineStr">
        <is>
          <t>Operating Expenses</t>
        </is>
      </c>
      <c r="E174" s="2" t="inlineStr">
        <is>
          <t>Corporate</t>
        </is>
      </c>
      <c r="F174" s="4" t="n">
        <v>12904</v>
      </c>
      <c r="G174" s="2" t="inlineStr">
        <is>
          <t>FY26 TB.csv</t>
        </is>
      </c>
      <c r="H174" s="2" t="inlineStr">
        <is>
          <t>Current Year</t>
        </is>
      </c>
    </row>
    <row r="175">
      <c r="A175" s="2" t="inlineStr">
        <is>
          <t>6081</t>
        </is>
      </c>
      <c r="B175" s="2" t="inlineStr">
        <is>
          <t>6081</t>
        </is>
      </c>
      <c r="C175" s="2" t="inlineStr">
        <is>
          <t>Travel - Ops</t>
        </is>
      </c>
      <c r="D175" s="2" t="inlineStr">
        <is>
          <t>Operating Expenses</t>
        </is>
      </c>
      <c r="E175" s="2" t="inlineStr">
        <is>
          <t>Ops</t>
        </is>
      </c>
      <c r="F175" s="4" t="n">
        <v>9014</v>
      </c>
      <c r="G175" s="2" t="inlineStr">
        <is>
          <t>FY26 TB.csv</t>
        </is>
      </c>
      <c r="H175" s="2" t="inlineStr">
        <is>
          <t>Current Year</t>
        </is>
      </c>
    </row>
    <row r="176">
      <c r="A176" s="2" t="inlineStr">
        <is>
          <t>6093</t>
        </is>
      </c>
      <c r="B176" s="2" t="inlineStr">
        <is>
          <t>6093</t>
        </is>
      </c>
      <c r="C176" s="2" t="inlineStr">
        <is>
          <t>Repairs - Admin</t>
        </is>
      </c>
      <c r="D176" s="2" t="inlineStr">
        <is>
          <t>Operating Expenses</t>
        </is>
      </c>
      <c r="E176" s="2" t="inlineStr">
        <is>
          <t>Admin</t>
        </is>
      </c>
      <c r="F176" s="4" t="n">
        <v>22806</v>
      </c>
      <c r="G176" s="2" t="inlineStr">
        <is>
          <t>FY26 TB.csv</t>
        </is>
      </c>
      <c r="H176" s="2" t="inlineStr">
        <is>
          <t>Current Year</t>
        </is>
      </c>
    </row>
    <row r="177">
      <c r="A177" s="2" t="inlineStr">
        <is>
          <t>6101</t>
        </is>
      </c>
      <c r="B177" s="2" t="inlineStr">
        <is>
          <t>6101</t>
        </is>
      </c>
      <c r="C177" s="2" t="inlineStr">
        <is>
          <t>Insurance - Warehouse</t>
        </is>
      </c>
      <c r="D177" s="2" t="inlineStr">
        <is>
          <t>Operating Expenses</t>
        </is>
      </c>
      <c r="E177" s="2" t="inlineStr">
        <is>
          <t>Warehouse</t>
        </is>
      </c>
      <c r="F177" s="4" t="n">
        <v>6726</v>
      </c>
      <c r="G177" s="2" t="inlineStr">
        <is>
          <t>FY26 TB.csv</t>
        </is>
      </c>
      <c r="H177" s="2" t="inlineStr">
        <is>
          <t>Current Year</t>
        </is>
      </c>
    </row>
    <row r="178">
      <c r="A178" s="2" t="inlineStr">
        <is>
          <t>6114</t>
        </is>
      </c>
      <c r="B178" s="2" t="inlineStr">
        <is>
          <t>6114</t>
        </is>
      </c>
      <c r="C178" s="2" t="inlineStr">
        <is>
          <t>Marketing - Corporate</t>
        </is>
      </c>
      <c r="D178" s="2" t="inlineStr">
        <is>
          <t>Operating Expenses</t>
        </is>
      </c>
      <c r="E178" s="2" t="inlineStr">
        <is>
          <t>Corporate</t>
        </is>
      </c>
      <c r="F178" s="4" t="n">
        <v>165111</v>
      </c>
      <c r="G178" s="2" t="inlineStr">
        <is>
          <t>FY26 TB.csv</t>
        </is>
      </c>
      <c r="H178" s="2" t="inlineStr">
        <is>
          <t>Current Year</t>
        </is>
      </c>
    </row>
    <row r="179">
      <c r="A179" s="2" t="inlineStr">
        <is>
          <t>6121</t>
        </is>
      </c>
      <c r="B179" s="2" t="inlineStr">
        <is>
          <t>6121</t>
        </is>
      </c>
      <c r="C179" s="2" t="inlineStr">
        <is>
          <t>Software - IT</t>
        </is>
      </c>
      <c r="D179" s="2" t="inlineStr">
        <is>
          <t>Operating Expenses</t>
        </is>
      </c>
      <c r="E179" s="2" t="inlineStr">
        <is>
          <t>IT</t>
        </is>
      </c>
      <c r="F179" s="4" t="n">
        <v>22651</v>
      </c>
      <c r="G179" s="2" t="inlineStr">
        <is>
          <t>FY26 TB.csv</t>
        </is>
      </c>
      <c r="H179" s="2" t="inlineStr">
        <is>
          <t>Current Year</t>
        </is>
      </c>
    </row>
    <row r="180">
      <c r="A180" s="2" t="inlineStr">
        <is>
          <t>6135</t>
        </is>
      </c>
      <c r="B180" s="2" t="inlineStr">
        <is>
          <t>6135</t>
        </is>
      </c>
      <c r="C180" s="2" t="inlineStr">
        <is>
          <t>Software - Admin</t>
        </is>
      </c>
      <c r="D180" s="2" t="inlineStr">
        <is>
          <t>Operating Expenses</t>
        </is>
      </c>
      <c r="E180" s="2" t="inlineStr">
        <is>
          <t>Admin</t>
        </is>
      </c>
      <c r="F180" s="4" t="n">
        <v>6788</v>
      </c>
      <c r="G180" s="2" t="inlineStr">
        <is>
          <t>FY26 TB.csv</t>
        </is>
      </c>
      <c r="H180" s="2" t="inlineStr">
        <is>
          <t>Current Year</t>
        </is>
      </c>
    </row>
    <row r="181">
      <c r="A181" s="2" t="inlineStr">
        <is>
          <t>6142</t>
        </is>
      </c>
      <c r="B181" s="2" t="inlineStr">
        <is>
          <t>6142</t>
        </is>
      </c>
      <c r="C181" s="2" t="inlineStr">
        <is>
          <t>Insurance - IT</t>
        </is>
      </c>
      <c r="D181" s="2" t="inlineStr">
        <is>
          <t>Operating Expenses</t>
        </is>
      </c>
      <c r="E181" s="2" t="inlineStr">
        <is>
          <t>IT</t>
        </is>
      </c>
      <c r="F181" s="4" t="n">
        <v>132014</v>
      </c>
      <c r="G181" s="2" t="inlineStr">
        <is>
          <t>FY26 TB.csv</t>
        </is>
      </c>
      <c r="H181" s="2" t="inlineStr">
        <is>
          <t>Current Year</t>
        </is>
      </c>
    </row>
    <row r="182">
      <c r="A182" s="2" t="inlineStr">
        <is>
          <t>6152</t>
        </is>
      </c>
      <c r="B182" s="2" t="inlineStr">
        <is>
          <t>6152</t>
        </is>
      </c>
      <c r="C182" s="2" t="inlineStr">
        <is>
          <t>Travel - Admin</t>
        </is>
      </c>
      <c r="D182" s="2" t="inlineStr">
        <is>
          <t>Operating Expenses</t>
        </is>
      </c>
      <c r="E182" s="2" t="inlineStr">
        <is>
          <t>Admin</t>
        </is>
      </c>
      <c r="F182" s="4" t="n">
        <v>18520</v>
      </c>
      <c r="G182" s="2" t="inlineStr">
        <is>
          <t>FY26 TB.csv</t>
        </is>
      </c>
      <c r="H182" s="2" t="inlineStr">
        <is>
          <t>Current Year</t>
        </is>
      </c>
    </row>
    <row r="183">
      <c r="A183" s="2" t="inlineStr">
        <is>
          <t>6163</t>
        </is>
      </c>
      <c r="B183" s="2" t="inlineStr">
        <is>
          <t>6163</t>
        </is>
      </c>
      <c r="C183" s="2" t="inlineStr">
        <is>
          <t>Salaries - Sales</t>
        </is>
      </c>
      <c r="D183" s="2" t="inlineStr">
        <is>
          <t>Operating Expenses</t>
        </is>
      </c>
      <c r="E183" s="2" t="inlineStr">
        <is>
          <t>Sales</t>
        </is>
      </c>
      <c r="F183" s="4" t="n">
        <v>64139</v>
      </c>
      <c r="G183" s="2" t="inlineStr">
        <is>
          <t>FY26 TB.csv</t>
        </is>
      </c>
      <c r="H183" s="2" t="inlineStr">
        <is>
          <t>Current Year</t>
        </is>
      </c>
    </row>
    <row r="184">
      <c r="A184" s="2" t="inlineStr">
        <is>
          <t>6170</t>
        </is>
      </c>
      <c r="B184" s="2" t="inlineStr">
        <is>
          <t>6170</t>
        </is>
      </c>
      <c r="C184" s="2" t="inlineStr">
        <is>
          <t>Salaries - Admin</t>
        </is>
      </c>
      <c r="D184" s="2" t="inlineStr">
        <is>
          <t>Operating Expenses</t>
        </is>
      </c>
      <c r="E184" s="2" t="inlineStr">
        <is>
          <t>Admin</t>
        </is>
      </c>
      <c r="F184" s="4" t="n">
        <v>3261</v>
      </c>
      <c r="G184" s="2" t="inlineStr">
        <is>
          <t>FY26 TB.csv</t>
        </is>
      </c>
      <c r="H184" s="2" t="inlineStr">
        <is>
          <t>Current Year</t>
        </is>
      </c>
    </row>
    <row r="185">
      <c r="A185" s="2" t="inlineStr">
        <is>
          <t>6180</t>
        </is>
      </c>
      <c r="B185" s="2" t="inlineStr">
        <is>
          <t>6180</t>
        </is>
      </c>
      <c r="C185" s="2" t="inlineStr">
        <is>
          <t>Software - IT</t>
        </is>
      </c>
      <c r="D185" s="2" t="inlineStr">
        <is>
          <t>Operating Expenses</t>
        </is>
      </c>
      <c r="E185" s="2" t="inlineStr">
        <is>
          <t>IT</t>
        </is>
      </c>
      <c r="F185" s="4" t="n">
        <v>62649</v>
      </c>
      <c r="G185" s="2" t="inlineStr">
        <is>
          <t>FY26 TB.csv</t>
        </is>
      </c>
      <c r="H185" s="2" t="inlineStr">
        <is>
          <t>Current Year</t>
        </is>
      </c>
    </row>
    <row r="186">
      <c r="A186" s="2" t="inlineStr">
        <is>
          <t>6190</t>
        </is>
      </c>
      <c r="B186" s="2" t="inlineStr">
        <is>
          <t>6190</t>
        </is>
      </c>
      <c r="C186" s="2" t="inlineStr">
        <is>
          <t>Office Supplies - IT</t>
        </is>
      </c>
      <c r="D186" s="2" t="inlineStr">
        <is>
          <t>Operating Expenses</t>
        </is>
      </c>
      <c r="E186" s="2" t="inlineStr">
        <is>
          <t>IT</t>
        </is>
      </c>
      <c r="F186" s="4" t="n">
        <v>46699</v>
      </c>
      <c r="G186" s="2" t="inlineStr">
        <is>
          <t>FY26 TB.csv</t>
        </is>
      </c>
      <c r="H186" s="2" t="inlineStr">
        <is>
          <t>Current Year</t>
        </is>
      </c>
    </row>
    <row r="187">
      <c r="A187" s="2" t="inlineStr">
        <is>
          <t>6203</t>
        </is>
      </c>
      <c r="B187" s="2" t="inlineStr">
        <is>
          <t>6203</t>
        </is>
      </c>
      <c r="C187" s="2" t="inlineStr">
        <is>
          <t>Utilities - Sales</t>
        </is>
      </c>
      <c r="D187" s="2" t="inlineStr">
        <is>
          <t>Operating Expenses</t>
        </is>
      </c>
      <c r="E187" s="2" t="inlineStr">
        <is>
          <t>Sales</t>
        </is>
      </c>
      <c r="F187" s="4" t="n">
        <v>50126</v>
      </c>
      <c r="G187" s="2" t="inlineStr">
        <is>
          <t>FY26 TB.csv</t>
        </is>
      </c>
      <c r="H187" s="2" t="inlineStr">
        <is>
          <t>Current Year</t>
        </is>
      </c>
    </row>
    <row r="188">
      <c r="A188" s="2" t="inlineStr">
        <is>
          <t>6214</t>
        </is>
      </c>
      <c r="B188" s="2" t="inlineStr">
        <is>
          <t>6214</t>
        </is>
      </c>
      <c r="C188" s="2" t="inlineStr">
        <is>
          <t>Marketing - Admin</t>
        </is>
      </c>
      <c r="D188" s="2" t="inlineStr">
        <is>
          <t>Operating Expenses</t>
        </is>
      </c>
      <c r="E188" s="2" t="inlineStr">
        <is>
          <t>Admin</t>
        </is>
      </c>
      <c r="F188" s="4" t="n">
        <v>56008</v>
      </c>
      <c r="G188" s="2" t="inlineStr">
        <is>
          <t>FY26 TB.csv</t>
        </is>
      </c>
      <c r="H188" s="2" t="inlineStr">
        <is>
          <t>Current Year</t>
        </is>
      </c>
    </row>
    <row r="189">
      <c r="A189" s="2" t="inlineStr">
        <is>
          <t>6225</t>
        </is>
      </c>
      <c r="B189" s="2" t="inlineStr">
        <is>
          <t>6225</t>
        </is>
      </c>
      <c r="C189" s="2" t="inlineStr">
        <is>
          <t>Repairs - Admin</t>
        </is>
      </c>
      <c r="D189" s="2" t="inlineStr">
        <is>
          <t>Operating Expenses</t>
        </is>
      </c>
      <c r="E189" s="2" t="inlineStr">
        <is>
          <t>Admin</t>
        </is>
      </c>
      <c r="F189" s="4" t="n">
        <v>31941</v>
      </c>
      <c r="G189" s="2" t="inlineStr">
        <is>
          <t>FY26 TB.csv</t>
        </is>
      </c>
      <c r="H189" s="2" t="inlineStr">
        <is>
          <t>Current Year</t>
        </is>
      </c>
    </row>
    <row r="190">
      <c r="A190" s="2" t="inlineStr">
        <is>
          <t>6231</t>
        </is>
      </c>
      <c r="B190" s="2" t="inlineStr">
        <is>
          <t>6231</t>
        </is>
      </c>
      <c r="C190" s="2" t="inlineStr">
        <is>
          <t>Rent - Sales</t>
        </is>
      </c>
      <c r="D190" s="2" t="inlineStr">
        <is>
          <t>Operating Expenses</t>
        </is>
      </c>
      <c r="E190" s="2" t="inlineStr">
        <is>
          <t>Sales</t>
        </is>
      </c>
      <c r="F190" s="4" t="n">
        <v>148601</v>
      </c>
      <c r="G190" s="2" t="inlineStr">
        <is>
          <t>FY26 TB.csv</t>
        </is>
      </c>
      <c r="H190" s="2" t="inlineStr">
        <is>
          <t>Current Year</t>
        </is>
      </c>
    </row>
    <row r="191">
      <c r="A191" s="2" t="inlineStr">
        <is>
          <t>6240</t>
        </is>
      </c>
      <c r="B191" s="2" t="inlineStr">
        <is>
          <t>6240</t>
        </is>
      </c>
      <c r="C191" s="2" t="inlineStr">
        <is>
          <t>Marketing - Ops</t>
        </is>
      </c>
      <c r="D191" s="2" t="inlineStr">
        <is>
          <t>Operating Expenses</t>
        </is>
      </c>
      <c r="E191" s="2" t="inlineStr">
        <is>
          <t>Ops</t>
        </is>
      </c>
      <c r="F191" s="4" t="n">
        <v>33176</v>
      </c>
      <c r="G191" s="2" t="inlineStr">
        <is>
          <t>FY26 TB.csv</t>
        </is>
      </c>
      <c r="H191" s="2" t="inlineStr">
        <is>
          <t>Current Year</t>
        </is>
      </c>
    </row>
    <row r="192">
      <c r="A192" s="2" t="inlineStr">
        <is>
          <t>6253</t>
        </is>
      </c>
      <c r="B192" s="2" t="inlineStr">
        <is>
          <t>6253</t>
        </is>
      </c>
      <c r="C192" s="2" t="inlineStr">
        <is>
          <t>Repairs - Corporate</t>
        </is>
      </c>
      <c r="D192" s="2" t="inlineStr">
        <is>
          <t>Operating Expenses</t>
        </is>
      </c>
      <c r="E192" s="2" t="inlineStr">
        <is>
          <t>Corporate</t>
        </is>
      </c>
      <c r="F192" s="4" t="n">
        <v>127847</v>
      </c>
      <c r="G192" s="2" t="inlineStr">
        <is>
          <t>FY26 TB.csv</t>
        </is>
      </c>
      <c r="H192" s="2" t="inlineStr">
        <is>
          <t>Current Year</t>
        </is>
      </c>
    </row>
    <row r="193">
      <c r="A193" s="2" t="inlineStr">
        <is>
          <t>6260</t>
        </is>
      </c>
      <c r="B193" s="2" t="inlineStr">
        <is>
          <t>6260</t>
        </is>
      </c>
      <c r="C193" s="2" t="inlineStr">
        <is>
          <t>Salaries - Ops</t>
        </is>
      </c>
      <c r="D193" s="2" t="inlineStr">
        <is>
          <t>Operating Expenses</t>
        </is>
      </c>
      <c r="E193" s="2" t="inlineStr">
        <is>
          <t>Ops</t>
        </is>
      </c>
      <c r="F193" s="4" t="n">
        <v>20887</v>
      </c>
      <c r="G193" s="2" t="inlineStr">
        <is>
          <t>FY26 TB.csv</t>
        </is>
      </c>
      <c r="H193" s="2" t="inlineStr">
        <is>
          <t>Current Year</t>
        </is>
      </c>
    </row>
    <row r="194">
      <c r="A194" s="2" t="inlineStr">
        <is>
          <t>6270</t>
        </is>
      </c>
      <c r="B194" s="2" t="inlineStr">
        <is>
          <t>6270</t>
        </is>
      </c>
      <c r="C194" s="2" t="inlineStr">
        <is>
          <t>Repairs - Sales</t>
        </is>
      </c>
      <c r="D194" s="2" t="inlineStr">
        <is>
          <t>Operating Expenses</t>
        </is>
      </c>
      <c r="E194" s="2" t="inlineStr">
        <is>
          <t>Sales</t>
        </is>
      </c>
      <c r="F194" s="4" t="n">
        <v>54591</v>
      </c>
      <c r="G194" s="2" t="inlineStr">
        <is>
          <t>FY26 TB.csv</t>
        </is>
      </c>
      <c r="H194" s="2" t="inlineStr">
        <is>
          <t>Current Year</t>
        </is>
      </c>
    </row>
    <row r="195">
      <c r="A195" s="2" t="inlineStr">
        <is>
          <t>6280</t>
        </is>
      </c>
      <c r="B195" s="2" t="inlineStr">
        <is>
          <t>6280</t>
        </is>
      </c>
      <c r="C195" s="2" t="inlineStr">
        <is>
          <t>Marketing - Sales</t>
        </is>
      </c>
      <c r="D195" s="2" t="inlineStr">
        <is>
          <t>Operating Expenses</t>
        </is>
      </c>
      <c r="E195" s="2" t="inlineStr">
        <is>
          <t>Sales</t>
        </is>
      </c>
      <c r="F195" s="4" t="n">
        <v>92656</v>
      </c>
      <c r="G195" s="2" t="inlineStr">
        <is>
          <t>FY26 TB.csv</t>
        </is>
      </c>
      <c r="H195" s="2" t="inlineStr">
        <is>
          <t>Current Year</t>
        </is>
      </c>
    </row>
    <row r="196">
      <c r="A196" s="2" t="inlineStr">
        <is>
          <t>6291</t>
        </is>
      </c>
      <c r="B196" s="2" t="inlineStr">
        <is>
          <t>6291</t>
        </is>
      </c>
      <c r="C196" s="2" t="inlineStr">
        <is>
          <t>Travel - Sales</t>
        </is>
      </c>
      <c r="D196" s="2" t="inlineStr">
        <is>
          <t>Operating Expenses</t>
        </is>
      </c>
      <c r="E196" s="2" t="inlineStr">
        <is>
          <t>Sales</t>
        </is>
      </c>
      <c r="F196" s="4" t="n">
        <v>48486</v>
      </c>
      <c r="G196" s="2" t="inlineStr">
        <is>
          <t>FY26 TB.csv</t>
        </is>
      </c>
      <c r="H196" s="2" t="inlineStr">
        <is>
          <t>Current Year</t>
        </is>
      </c>
    </row>
    <row r="197">
      <c r="A197" s="2" t="inlineStr">
        <is>
          <t>6303</t>
        </is>
      </c>
      <c r="B197" s="2" t="inlineStr">
        <is>
          <t>6303</t>
        </is>
      </c>
      <c r="C197" s="2" t="inlineStr">
        <is>
          <t>Rent - Corporate</t>
        </is>
      </c>
      <c r="D197" s="2" t="inlineStr">
        <is>
          <t>Operating Expenses</t>
        </is>
      </c>
      <c r="E197" s="2" t="inlineStr">
        <is>
          <t>Corporate</t>
        </is>
      </c>
      <c r="F197" s="4" t="n">
        <v>7666</v>
      </c>
      <c r="G197" s="2" t="inlineStr">
        <is>
          <t>FY26 TB.csv</t>
        </is>
      </c>
      <c r="H197" s="2" t="inlineStr">
        <is>
          <t>Current Year</t>
        </is>
      </c>
    </row>
    <row r="198">
      <c r="A198" s="2" t="inlineStr">
        <is>
          <t>6310</t>
        </is>
      </c>
      <c r="B198" s="2" t="inlineStr">
        <is>
          <t>6310</t>
        </is>
      </c>
      <c r="C198" s="2" t="inlineStr">
        <is>
          <t>Marketing - Admin</t>
        </is>
      </c>
      <c r="D198" s="2" t="inlineStr">
        <is>
          <t>Operating Expenses</t>
        </is>
      </c>
      <c r="E198" s="2" t="inlineStr">
        <is>
          <t>Admin</t>
        </is>
      </c>
      <c r="F198" s="4" t="n">
        <v>24380</v>
      </c>
      <c r="G198" s="2" t="inlineStr">
        <is>
          <t>FY26 TB.csv</t>
        </is>
      </c>
      <c r="H198" s="2" t="inlineStr">
        <is>
          <t>Current Year</t>
        </is>
      </c>
    </row>
    <row r="199">
      <c r="A199" s="2" t="inlineStr">
        <is>
          <t>6323</t>
        </is>
      </c>
      <c r="B199" s="2" t="inlineStr">
        <is>
          <t>6323</t>
        </is>
      </c>
      <c r="C199" s="2" t="inlineStr">
        <is>
          <t>Utilities - Corporate</t>
        </is>
      </c>
      <c r="D199" s="2" t="inlineStr">
        <is>
          <t>Operating Expenses</t>
        </is>
      </c>
      <c r="E199" s="2" t="inlineStr">
        <is>
          <t>Corporate</t>
        </is>
      </c>
      <c r="F199" s="4" t="n">
        <v>34975</v>
      </c>
      <c r="G199" s="2" t="inlineStr">
        <is>
          <t>FY26 TB.csv</t>
        </is>
      </c>
      <c r="H199" s="2" t="inlineStr">
        <is>
          <t>Current Year</t>
        </is>
      </c>
    </row>
    <row r="200">
      <c r="A200" s="2" t="inlineStr">
        <is>
          <t>6335</t>
        </is>
      </c>
      <c r="B200" s="2" t="inlineStr">
        <is>
          <t>6335</t>
        </is>
      </c>
      <c r="C200" s="2" t="inlineStr">
        <is>
          <t>Travel - Sales</t>
        </is>
      </c>
      <c r="D200" s="2" t="inlineStr">
        <is>
          <t>Operating Expenses</t>
        </is>
      </c>
      <c r="E200" s="2" t="inlineStr">
        <is>
          <t>Sales</t>
        </is>
      </c>
      <c r="F200" s="4" t="n">
        <v>4218</v>
      </c>
      <c r="G200" s="2" t="inlineStr">
        <is>
          <t>FY26 TB.csv</t>
        </is>
      </c>
      <c r="H200" s="2" t="inlineStr">
        <is>
          <t>Current Year</t>
        </is>
      </c>
    </row>
    <row r="201">
      <c r="A201" s="2" t="inlineStr">
        <is>
          <t>6341</t>
        </is>
      </c>
      <c r="B201" s="2" t="inlineStr">
        <is>
          <t>6341</t>
        </is>
      </c>
      <c r="C201" s="2" t="inlineStr">
        <is>
          <t>Utilities - Admin</t>
        </is>
      </c>
      <c r="D201" s="2" t="inlineStr">
        <is>
          <t>Operating Expenses</t>
        </is>
      </c>
      <c r="E201" s="2" t="inlineStr">
        <is>
          <t>Admin</t>
        </is>
      </c>
      <c r="F201" s="4" t="n">
        <v>246385</v>
      </c>
      <c r="G201" s="2" t="inlineStr">
        <is>
          <t>FY26 TB.csv</t>
        </is>
      </c>
      <c r="H201" s="2" t="inlineStr">
        <is>
          <t>Current Year</t>
        </is>
      </c>
    </row>
    <row r="202">
      <c r="A202" s="2" t="inlineStr">
        <is>
          <t>6352</t>
        </is>
      </c>
      <c r="B202" s="2" t="inlineStr">
        <is>
          <t>6352</t>
        </is>
      </c>
      <c r="C202" s="2" t="inlineStr">
        <is>
          <t>Insurance - Corporate</t>
        </is>
      </c>
      <c r="D202" s="2" t="inlineStr">
        <is>
          <t>Operating Expenses</t>
        </is>
      </c>
      <c r="E202" s="2" t="inlineStr">
        <is>
          <t>Corporate</t>
        </is>
      </c>
      <c r="F202" s="4" t="n">
        <v>33620</v>
      </c>
      <c r="G202" s="2" t="inlineStr">
        <is>
          <t>FY26 TB.csv</t>
        </is>
      </c>
      <c r="H202" s="2" t="inlineStr">
        <is>
          <t>Current Year</t>
        </is>
      </c>
    </row>
    <row r="203">
      <c r="A203" s="2" t="inlineStr">
        <is>
          <t>6362</t>
        </is>
      </c>
      <c r="B203" s="2" t="inlineStr">
        <is>
          <t>6362</t>
        </is>
      </c>
      <c r="C203" s="2" t="inlineStr">
        <is>
          <t>Utilities - Warehouse</t>
        </is>
      </c>
      <c r="D203" s="2" t="inlineStr">
        <is>
          <t>Operating Expenses</t>
        </is>
      </c>
      <c r="E203" s="2" t="inlineStr">
        <is>
          <t>Warehouse</t>
        </is>
      </c>
      <c r="F203" s="4" t="n">
        <v>21886</v>
      </c>
      <c r="G203" s="2" t="inlineStr">
        <is>
          <t>FY26 TB.csv</t>
        </is>
      </c>
      <c r="H203" s="2" t="inlineStr">
        <is>
          <t>Current Year</t>
        </is>
      </c>
    </row>
    <row r="204">
      <c r="A204" s="2" t="inlineStr">
        <is>
          <t>6374</t>
        </is>
      </c>
      <c r="B204" s="2" t="inlineStr">
        <is>
          <t>6374</t>
        </is>
      </c>
      <c r="C204" s="2" t="inlineStr">
        <is>
          <t>Utilities - IT</t>
        </is>
      </c>
      <c r="D204" s="2" t="inlineStr">
        <is>
          <t>Operating Expenses</t>
        </is>
      </c>
      <c r="E204" s="2" t="inlineStr">
        <is>
          <t>IT</t>
        </is>
      </c>
      <c r="F204" s="4" t="n">
        <v>22881</v>
      </c>
      <c r="G204" s="2" t="inlineStr">
        <is>
          <t>FY26 TB.csv</t>
        </is>
      </c>
      <c r="H204" s="2" t="inlineStr">
        <is>
          <t>Current Year</t>
        </is>
      </c>
    </row>
    <row r="205">
      <c r="A205" s="2" t="inlineStr">
        <is>
          <t>6384</t>
        </is>
      </c>
      <c r="B205" s="2" t="inlineStr">
        <is>
          <t>6384</t>
        </is>
      </c>
      <c r="C205" s="2" t="inlineStr">
        <is>
          <t>Repairs - Ops</t>
        </is>
      </c>
      <c r="D205" s="2" t="inlineStr">
        <is>
          <t>Operating Expenses</t>
        </is>
      </c>
      <c r="E205" s="2" t="inlineStr">
        <is>
          <t>Ops</t>
        </is>
      </c>
      <c r="F205" s="4" t="n">
        <v>45649</v>
      </c>
      <c r="G205" s="2" t="inlineStr">
        <is>
          <t>FY26 TB.csv</t>
        </is>
      </c>
      <c r="H205" s="2" t="inlineStr">
        <is>
          <t>Current Year</t>
        </is>
      </c>
    </row>
    <row r="206">
      <c r="A206" s="2" t="inlineStr">
        <is>
          <t>6395</t>
        </is>
      </c>
      <c r="B206" s="2" t="inlineStr">
        <is>
          <t>6395</t>
        </is>
      </c>
      <c r="C206" s="2" t="inlineStr">
        <is>
          <t>Repairs - Admin</t>
        </is>
      </c>
      <c r="D206" s="2" t="inlineStr">
        <is>
          <t>Operating Expenses</t>
        </is>
      </c>
      <c r="E206" s="2" t="inlineStr">
        <is>
          <t>Admin</t>
        </is>
      </c>
      <c r="F206" s="4" t="n">
        <v>107819</v>
      </c>
      <c r="G206" s="2" t="inlineStr">
        <is>
          <t>FY26 TB.csv</t>
        </is>
      </c>
      <c r="H206" s="2" t="inlineStr">
        <is>
          <t>Current Year</t>
        </is>
      </c>
    </row>
    <row r="207">
      <c r="A207" s="2" t="inlineStr">
        <is>
          <t>6405</t>
        </is>
      </c>
      <c r="B207" s="2" t="inlineStr">
        <is>
          <t>6405</t>
        </is>
      </c>
      <c r="C207" s="2" t="inlineStr">
        <is>
          <t>Professional Fees - Ops</t>
        </is>
      </c>
      <c r="D207" s="2" t="inlineStr">
        <is>
          <t>Operating Expenses</t>
        </is>
      </c>
      <c r="E207" s="2" t="inlineStr">
        <is>
          <t>Ops</t>
        </is>
      </c>
      <c r="F207" s="4" t="n">
        <v>111130</v>
      </c>
      <c r="G207" s="2" t="inlineStr">
        <is>
          <t>FY26 TB.csv</t>
        </is>
      </c>
      <c r="H207" s="2" t="inlineStr">
        <is>
          <t>Current Year</t>
        </is>
      </c>
    </row>
    <row r="208">
      <c r="A208" s="2" t="inlineStr">
        <is>
          <t>6411</t>
        </is>
      </c>
      <c r="B208" s="2" t="inlineStr">
        <is>
          <t>6411</t>
        </is>
      </c>
      <c r="C208" s="2" t="inlineStr">
        <is>
          <t>Insurance - Admin</t>
        </is>
      </c>
      <c r="D208" s="2" t="inlineStr">
        <is>
          <t>Operating Expenses</t>
        </is>
      </c>
      <c r="E208" s="2" t="inlineStr">
        <is>
          <t>Admin</t>
        </is>
      </c>
      <c r="F208" s="4" t="n">
        <v>75413</v>
      </c>
      <c r="G208" s="2" t="inlineStr">
        <is>
          <t>FY26 TB.csv</t>
        </is>
      </c>
      <c r="H208" s="2" t="inlineStr">
        <is>
          <t>Current Year</t>
        </is>
      </c>
    </row>
    <row r="209">
      <c r="A209" s="2" t="inlineStr">
        <is>
          <t>6423</t>
        </is>
      </c>
      <c r="B209" s="2" t="inlineStr">
        <is>
          <t>6423</t>
        </is>
      </c>
      <c r="C209" s="2" t="inlineStr">
        <is>
          <t>Office Supplies - Sales</t>
        </is>
      </c>
      <c r="D209" s="2" t="inlineStr">
        <is>
          <t>Operating Expenses</t>
        </is>
      </c>
      <c r="E209" s="2" t="inlineStr">
        <is>
          <t>Sales</t>
        </is>
      </c>
      <c r="F209" s="4" t="n">
        <v>129740</v>
      </c>
      <c r="G209" s="2" t="inlineStr">
        <is>
          <t>FY26 TB.csv</t>
        </is>
      </c>
      <c r="H209" s="2" t="inlineStr">
        <is>
          <t>Current Year</t>
        </is>
      </c>
    </row>
    <row r="210">
      <c r="A210" s="2" t="inlineStr">
        <is>
          <t>6435</t>
        </is>
      </c>
      <c r="B210" s="2" t="inlineStr">
        <is>
          <t>6435</t>
        </is>
      </c>
      <c r="C210" s="2" t="inlineStr">
        <is>
          <t>Professional Fees - IT</t>
        </is>
      </c>
      <c r="D210" s="2" t="inlineStr">
        <is>
          <t>Operating Expenses</t>
        </is>
      </c>
      <c r="E210" s="2" t="inlineStr">
        <is>
          <t>IT</t>
        </is>
      </c>
      <c r="F210" s="4" t="n">
        <v>124269</v>
      </c>
      <c r="G210" s="2" t="inlineStr">
        <is>
          <t>FY26 TB.csv</t>
        </is>
      </c>
      <c r="H210" s="2" t="inlineStr">
        <is>
          <t>Current Year</t>
        </is>
      </c>
    </row>
    <row r="211">
      <c r="A211" s="2" t="inlineStr">
        <is>
          <t>6442</t>
        </is>
      </c>
      <c r="B211" s="2" t="inlineStr">
        <is>
          <t>6442</t>
        </is>
      </c>
      <c r="C211" s="2" t="inlineStr">
        <is>
          <t>Rent - Ops</t>
        </is>
      </c>
      <c r="D211" s="2" t="inlineStr">
        <is>
          <t>Operating Expenses</t>
        </is>
      </c>
      <c r="E211" s="2" t="inlineStr">
        <is>
          <t>Ops</t>
        </is>
      </c>
      <c r="F211" s="4" t="n">
        <v>65943</v>
      </c>
      <c r="G211" s="2" t="inlineStr">
        <is>
          <t>FY26 TB.csv</t>
        </is>
      </c>
      <c r="H211" s="2" t="inlineStr">
        <is>
          <t>Current Year</t>
        </is>
      </c>
    </row>
    <row r="212">
      <c r="A212" s="2" t="inlineStr">
        <is>
          <t>7003</t>
        </is>
      </c>
      <c r="B212" s="2" t="inlineStr">
        <is>
          <t>7003</t>
        </is>
      </c>
      <c r="C212" s="2" t="inlineStr">
        <is>
          <t>Bank Fees - Ops</t>
        </is>
      </c>
      <c r="D212" s="2" t="inlineStr">
        <is>
          <t>Other Expense</t>
        </is>
      </c>
      <c r="E212" s="2" t="inlineStr">
        <is>
          <t>Ops</t>
        </is>
      </c>
      <c r="F212" s="4" t="n">
        <v>48715</v>
      </c>
      <c r="G212" s="2" t="inlineStr">
        <is>
          <t>FY26 TB.csv</t>
        </is>
      </c>
      <c r="H212" s="2" t="inlineStr">
        <is>
          <t>Current Year</t>
        </is>
      </c>
    </row>
    <row r="213">
      <c r="A213" s="2" t="inlineStr">
        <is>
          <t>7011</t>
        </is>
      </c>
      <c r="B213" s="2" t="inlineStr">
        <is>
          <t>7011</t>
        </is>
      </c>
      <c r="C213" s="2" t="inlineStr">
        <is>
          <t>Taxes and Licenses - Ops</t>
        </is>
      </c>
      <c r="D213" s="2" t="inlineStr">
        <is>
          <t>Other Expense</t>
        </is>
      </c>
      <c r="E213" s="2" t="inlineStr">
        <is>
          <t>Ops</t>
        </is>
      </c>
      <c r="F213" s="4" t="n">
        <v>11080</v>
      </c>
      <c r="G213" s="2" t="inlineStr">
        <is>
          <t>FY26 TB.csv</t>
        </is>
      </c>
      <c r="H213" s="2" t="inlineStr">
        <is>
          <t>Current Year</t>
        </is>
      </c>
    </row>
    <row r="214">
      <c r="A214" s="2" t="inlineStr">
        <is>
          <t>7025</t>
        </is>
      </c>
      <c r="B214" s="2" t="inlineStr">
        <is>
          <t>7025</t>
        </is>
      </c>
      <c r="C214" s="2" t="inlineStr">
        <is>
          <t>Taxes and Licenses - Ops</t>
        </is>
      </c>
      <c r="D214" s="2" t="inlineStr">
        <is>
          <t>Other Expense</t>
        </is>
      </c>
      <c r="E214" s="2" t="inlineStr">
        <is>
          <t>Ops</t>
        </is>
      </c>
      <c r="F214" s="4" t="n">
        <v>19011</v>
      </c>
      <c r="G214" s="2" t="inlineStr">
        <is>
          <t>FY26 TB.csv</t>
        </is>
      </c>
      <c r="H214" s="2" t="inlineStr">
        <is>
          <t>Current Year</t>
        </is>
      </c>
    </row>
    <row r="215">
      <c r="A215" s="2" t="inlineStr">
        <is>
          <t>7035</t>
        </is>
      </c>
      <c r="B215" s="2" t="inlineStr">
        <is>
          <t>7035</t>
        </is>
      </c>
      <c r="C215" s="2" t="inlineStr">
        <is>
          <t>Bank Fees - Ops</t>
        </is>
      </c>
      <c r="D215" s="2" t="inlineStr">
        <is>
          <t>Other Expense</t>
        </is>
      </c>
      <c r="E215" s="2" t="inlineStr">
        <is>
          <t>Ops</t>
        </is>
      </c>
      <c r="F215" s="4" t="n">
        <v>383167</v>
      </c>
      <c r="G215" s="2" t="inlineStr">
        <is>
          <t>FY26 TB.csv</t>
        </is>
      </c>
      <c r="H215" s="2" t="inlineStr">
        <is>
          <t>Current Year</t>
        </is>
      </c>
    </row>
    <row r="216">
      <c r="A216" s="2" t="inlineStr">
        <is>
          <t>7043</t>
        </is>
      </c>
      <c r="B216" s="2" t="inlineStr">
        <is>
          <t>7043</t>
        </is>
      </c>
      <c r="C216" s="2" t="inlineStr">
        <is>
          <t>Bank Fees - Warehouse</t>
        </is>
      </c>
      <c r="D216" s="2" t="inlineStr">
        <is>
          <t>Other Expense</t>
        </is>
      </c>
      <c r="E216" s="2" t="inlineStr">
        <is>
          <t>Warehouse</t>
        </is>
      </c>
      <c r="F216" s="4" t="n">
        <v>60165</v>
      </c>
      <c r="G216" s="2" t="inlineStr">
        <is>
          <t>FY26 TB.csv</t>
        </is>
      </c>
      <c r="H216" s="2" t="inlineStr">
        <is>
          <t>Current Year</t>
        </is>
      </c>
    </row>
    <row r="217">
      <c r="A217" s="2" t="inlineStr">
        <is>
          <t>7051</t>
        </is>
      </c>
      <c r="B217" s="2" t="inlineStr">
        <is>
          <t>7051</t>
        </is>
      </c>
      <c r="C217" s="2" t="inlineStr">
        <is>
          <t>Taxes and Licenses - IT</t>
        </is>
      </c>
      <c r="D217" s="2" t="inlineStr">
        <is>
          <t>Other Expense</t>
        </is>
      </c>
      <c r="E217" s="2" t="inlineStr">
        <is>
          <t>IT</t>
        </is>
      </c>
      <c r="F217" s="4" t="n">
        <v>193255</v>
      </c>
      <c r="G217" s="2" t="inlineStr">
        <is>
          <t>FY26 TB.csv</t>
        </is>
      </c>
      <c r="H217" s="2" t="inlineStr">
        <is>
          <t>Current Year</t>
        </is>
      </c>
    </row>
    <row r="218">
      <c r="A218" s="2" t="inlineStr">
        <is>
          <t>7063</t>
        </is>
      </c>
      <c r="B218" s="2" t="inlineStr">
        <is>
          <t>7063</t>
        </is>
      </c>
      <c r="C218" s="2" t="inlineStr">
        <is>
          <t>Interest Expense - Ops</t>
        </is>
      </c>
      <c r="D218" s="2" t="inlineStr">
        <is>
          <t>Other Expense</t>
        </is>
      </c>
      <c r="E218" s="2" t="inlineStr">
        <is>
          <t>Ops</t>
        </is>
      </c>
      <c r="F218" s="4" t="n">
        <v>28335</v>
      </c>
      <c r="G218" s="2" t="inlineStr">
        <is>
          <t>FY26 TB.csv</t>
        </is>
      </c>
      <c r="H218" s="2" t="inlineStr">
        <is>
          <t>Current Year</t>
        </is>
      </c>
    </row>
    <row r="219">
      <c r="A219" s="2" t="inlineStr">
        <is>
          <t>7072</t>
        </is>
      </c>
      <c r="B219" s="2" t="inlineStr">
        <is>
          <t>7072</t>
        </is>
      </c>
      <c r="C219" s="2" t="inlineStr">
        <is>
          <t>Taxes and Licenses - Corporate</t>
        </is>
      </c>
      <c r="D219" s="2" t="inlineStr">
        <is>
          <t>Other Expense</t>
        </is>
      </c>
      <c r="E219" s="2" t="inlineStr">
        <is>
          <t>Corporate</t>
        </is>
      </c>
      <c r="F219" s="4" t="n">
        <v>21340</v>
      </c>
      <c r="G219" s="2" t="inlineStr">
        <is>
          <t>FY26 TB.csv</t>
        </is>
      </c>
      <c r="H219" s="2" t="inlineStr">
        <is>
          <t>Current Year</t>
        </is>
      </c>
    </row>
    <row r="220">
      <c r="A220" s="2" t="inlineStr">
        <is>
          <t>7081</t>
        </is>
      </c>
      <c r="B220" s="2" t="inlineStr">
        <is>
          <t>7081</t>
        </is>
      </c>
      <c r="C220" s="2" t="inlineStr">
        <is>
          <t>Taxes and Licenses - IT</t>
        </is>
      </c>
      <c r="D220" s="2" t="inlineStr">
        <is>
          <t>Other Expense</t>
        </is>
      </c>
      <c r="E220" s="2" t="inlineStr">
        <is>
          <t>IT</t>
        </is>
      </c>
      <c r="F220" s="4" t="n">
        <v>25318</v>
      </c>
      <c r="G220" s="2" t="inlineStr">
        <is>
          <t>FY26 TB.csv</t>
        </is>
      </c>
      <c r="H220" s="2" t="inlineStr">
        <is>
          <t>Current Year</t>
        </is>
      </c>
    </row>
    <row r="221">
      <c r="A221" s="2" t="inlineStr">
        <is>
          <t>7094</t>
        </is>
      </c>
      <c r="B221" s="2" t="inlineStr">
        <is>
          <t>7094</t>
        </is>
      </c>
      <c r="C221" s="2" t="inlineStr">
        <is>
          <t>Interest Expense - IT</t>
        </is>
      </c>
      <c r="D221" s="2" t="inlineStr">
        <is>
          <t>Other Expense</t>
        </is>
      </c>
      <c r="E221" s="2" t="inlineStr">
        <is>
          <t>IT</t>
        </is>
      </c>
      <c r="F221" s="4" t="n">
        <v>36500</v>
      </c>
      <c r="G221" s="2" t="inlineStr">
        <is>
          <t>FY26 TB.csv</t>
        </is>
      </c>
      <c r="H221" s="2" t="inlineStr">
        <is>
          <t>Current Year</t>
        </is>
      </c>
    </row>
    <row r="222">
      <c r="A222" s="2" t="inlineStr">
        <is>
          <t>7104</t>
        </is>
      </c>
      <c r="B222" s="2" t="inlineStr">
        <is>
          <t>7104</t>
        </is>
      </c>
      <c r="C222" s="2" t="inlineStr">
        <is>
          <t>Taxes and Licenses - IT</t>
        </is>
      </c>
      <c r="D222" s="2" t="inlineStr">
        <is>
          <t>Other Expense</t>
        </is>
      </c>
      <c r="E222" s="2" t="inlineStr">
        <is>
          <t>IT</t>
        </is>
      </c>
      <c r="F222" s="4" t="n">
        <v>256728</v>
      </c>
      <c r="G222" s="2" t="inlineStr">
        <is>
          <t>FY26 TB.csv</t>
        </is>
      </c>
      <c r="H222" s="2" t="inlineStr">
        <is>
          <t>Current Year</t>
        </is>
      </c>
    </row>
    <row r="223">
      <c r="A223" s="2" t="inlineStr">
        <is>
          <t>7111</t>
        </is>
      </c>
      <c r="B223" s="2" t="inlineStr">
        <is>
          <t>7111</t>
        </is>
      </c>
      <c r="C223" s="2" t="inlineStr">
        <is>
          <t>Interest Expense - IT</t>
        </is>
      </c>
      <c r="D223" s="2" t="inlineStr">
        <is>
          <t>Other Expense</t>
        </is>
      </c>
      <c r="E223" s="2" t="inlineStr">
        <is>
          <t>IT</t>
        </is>
      </c>
      <c r="F223" s="4" t="n">
        <v>74788</v>
      </c>
      <c r="G223" s="2" t="inlineStr">
        <is>
          <t>FY26 TB.csv</t>
        </is>
      </c>
      <c r="H223" s="2" t="inlineStr">
        <is>
          <t>Current Year</t>
        </is>
      </c>
    </row>
    <row r="224">
      <c r="A224" s="2" t="inlineStr">
        <is>
          <t>7124</t>
        </is>
      </c>
      <c r="B224" s="2" t="inlineStr">
        <is>
          <t>7124</t>
        </is>
      </c>
      <c r="C224" s="2" t="inlineStr">
        <is>
          <t>Bank Fees - Sales</t>
        </is>
      </c>
      <c r="D224" s="2" t="inlineStr">
        <is>
          <t>Other Expense</t>
        </is>
      </c>
      <c r="E224" s="2" t="inlineStr">
        <is>
          <t>Sales</t>
        </is>
      </c>
      <c r="F224" s="4" t="n">
        <v>21035</v>
      </c>
      <c r="G224" s="2" t="inlineStr">
        <is>
          <t>FY26 TB.csv</t>
        </is>
      </c>
      <c r="H224" s="2" t="inlineStr">
        <is>
          <t>Current Year</t>
        </is>
      </c>
    </row>
    <row r="225">
      <c r="A225" s="2" t="inlineStr">
        <is>
          <t>7130</t>
        </is>
      </c>
      <c r="B225" s="2" t="inlineStr">
        <is>
          <t>7130</t>
        </is>
      </c>
      <c r="C225" s="2" t="inlineStr">
        <is>
          <t>Interest Expense - Ops</t>
        </is>
      </c>
      <c r="D225" s="2" t="inlineStr">
        <is>
          <t>Other Expense</t>
        </is>
      </c>
      <c r="E225" s="2" t="inlineStr">
        <is>
          <t>Ops</t>
        </is>
      </c>
      <c r="F225" s="4" t="n">
        <v>17618</v>
      </c>
      <c r="G225" s="2" t="inlineStr">
        <is>
          <t>FY26 TB.csv</t>
        </is>
      </c>
      <c r="H225" s="2" t="inlineStr">
        <is>
          <t>Current Year</t>
        </is>
      </c>
    </row>
    <row r="226">
      <c r="A226" s="2" t="inlineStr">
        <is>
          <t>7140</t>
        </is>
      </c>
      <c r="B226" s="2" t="inlineStr">
        <is>
          <t>7140</t>
        </is>
      </c>
      <c r="C226" s="2" t="inlineStr">
        <is>
          <t>Miscellaneous Expense - Warehouse</t>
        </is>
      </c>
      <c r="D226" s="2" t="inlineStr">
        <is>
          <t>Other Expense</t>
        </is>
      </c>
      <c r="E226" s="2" t="inlineStr">
        <is>
          <t>Warehouse</t>
        </is>
      </c>
      <c r="F226" s="4" t="n">
        <v>22048</v>
      </c>
      <c r="G226" s="2" t="inlineStr">
        <is>
          <t>FY26 TB.csv</t>
        </is>
      </c>
      <c r="H226" s="2" t="inlineStr">
        <is>
          <t>Current Year</t>
        </is>
      </c>
    </row>
    <row r="227">
      <c r="A227" s="2" t="inlineStr">
        <is>
          <t>7154</t>
        </is>
      </c>
      <c r="B227" s="2" t="inlineStr">
        <is>
          <t>7154</t>
        </is>
      </c>
      <c r="C227" s="2" t="inlineStr">
        <is>
          <t>Bank Fees - Sales</t>
        </is>
      </c>
      <c r="D227" s="2" t="inlineStr">
        <is>
          <t>Other Expense</t>
        </is>
      </c>
      <c r="E227" s="2" t="inlineStr">
        <is>
          <t>Sales</t>
        </is>
      </c>
      <c r="F227" s="4" t="n">
        <v>28455</v>
      </c>
      <c r="G227" s="2" t="inlineStr">
        <is>
          <t>FY26 TB.csv</t>
        </is>
      </c>
      <c r="H227" s="2" t="inlineStr">
        <is>
          <t>Current Year</t>
        </is>
      </c>
    </row>
    <row r="228">
      <c r="A228" s="2" t="inlineStr">
        <is>
          <t>7164</t>
        </is>
      </c>
      <c r="B228" s="2" t="inlineStr">
        <is>
          <t>7164</t>
        </is>
      </c>
      <c r="C228" s="2" t="inlineStr">
        <is>
          <t>Taxes and Licenses - Warehouse</t>
        </is>
      </c>
      <c r="D228" s="2" t="inlineStr">
        <is>
          <t>Other Expense</t>
        </is>
      </c>
      <c r="E228" s="2" t="inlineStr">
        <is>
          <t>Warehouse</t>
        </is>
      </c>
      <c r="F228" s="4" t="n">
        <v>32708</v>
      </c>
      <c r="G228" s="2" t="inlineStr">
        <is>
          <t>FY26 TB.csv</t>
        </is>
      </c>
      <c r="H228" s="2" t="inlineStr">
        <is>
          <t>Current Year</t>
        </is>
      </c>
    </row>
    <row r="229">
      <c r="A229" s="2" t="inlineStr">
        <is>
          <t>7175</t>
        </is>
      </c>
      <c r="B229" s="2" t="inlineStr">
        <is>
          <t>7175</t>
        </is>
      </c>
      <c r="C229" s="2" t="inlineStr">
        <is>
          <t>Taxes and Licenses - Sales</t>
        </is>
      </c>
      <c r="D229" s="2" t="inlineStr">
        <is>
          <t>Other Expense</t>
        </is>
      </c>
      <c r="E229" s="2" t="inlineStr">
        <is>
          <t>Sales</t>
        </is>
      </c>
      <c r="F229" s="4" t="n">
        <v>16017</v>
      </c>
      <c r="G229" s="2" t="inlineStr">
        <is>
          <t>FY26 TB.csv</t>
        </is>
      </c>
      <c r="H229" s="2" t="inlineStr">
        <is>
          <t>Current Year</t>
        </is>
      </c>
    </row>
    <row r="230">
      <c r="A230" s="2" t="inlineStr">
        <is>
          <t>7185</t>
        </is>
      </c>
      <c r="B230" s="2" t="inlineStr">
        <is>
          <t>7185</t>
        </is>
      </c>
      <c r="C230" s="2" t="inlineStr">
        <is>
          <t>Miscellaneous Expense - Sales</t>
        </is>
      </c>
      <c r="D230" s="2" t="inlineStr">
        <is>
          <t>Other Expense</t>
        </is>
      </c>
      <c r="E230" s="2" t="inlineStr">
        <is>
          <t>Sales</t>
        </is>
      </c>
      <c r="F230" s="4" t="n">
        <v>370215</v>
      </c>
      <c r="G230" s="2" t="inlineStr">
        <is>
          <t>FY26 TB.csv</t>
        </is>
      </c>
      <c r="H230" s="2" t="inlineStr">
        <is>
          <t>Current Year</t>
        </is>
      </c>
    </row>
    <row r="231">
      <c r="A231" s="2" t="inlineStr">
        <is>
          <t>7194</t>
        </is>
      </c>
      <c r="B231" s="2" t="inlineStr">
        <is>
          <t>7194</t>
        </is>
      </c>
      <c r="C231" s="2" t="inlineStr">
        <is>
          <t>Miscellaneous Expense - Ops</t>
        </is>
      </c>
      <c r="D231" s="2" t="inlineStr">
        <is>
          <t>Other Expense</t>
        </is>
      </c>
      <c r="E231" s="2" t="inlineStr">
        <is>
          <t>Ops</t>
        </is>
      </c>
      <c r="F231" s="4" t="n">
        <v>78231</v>
      </c>
      <c r="G231" s="2" t="inlineStr">
        <is>
          <t>FY26 TB.csv</t>
        </is>
      </c>
      <c r="H231" s="2" t="inlineStr">
        <is>
          <t>Current Year</t>
        </is>
      </c>
    </row>
    <row r="232">
      <c r="A232" s="2" t="inlineStr">
        <is>
          <t>7204</t>
        </is>
      </c>
      <c r="B232" s="2" t="inlineStr">
        <is>
          <t>7204</t>
        </is>
      </c>
      <c r="C232" s="2" t="inlineStr">
        <is>
          <t>Bank Fees - Admin</t>
        </is>
      </c>
      <c r="D232" s="2" t="inlineStr">
        <is>
          <t>Other Expense</t>
        </is>
      </c>
      <c r="E232" s="2" t="inlineStr">
        <is>
          <t>Admin</t>
        </is>
      </c>
      <c r="F232" s="4" t="n">
        <v>7989</v>
      </c>
      <c r="G232" s="2" t="inlineStr">
        <is>
          <t>FY26 TB.csv</t>
        </is>
      </c>
      <c r="H232" s="2" t="inlineStr">
        <is>
          <t>Current Year</t>
        </is>
      </c>
    </row>
    <row r="233">
      <c r="A233" s="2" t="inlineStr">
        <is>
          <t>7214</t>
        </is>
      </c>
      <c r="B233" s="2" t="inlineStr">
        <is>
          <t>7214</t>
        </is>
      </c>
      <c r="C233" s="2" t="inlineStr">
        <is>
          <t>Miscellaneous Expense - Warehouse</t>
        </is>
      </c>
      <c r="D233" s="2" t="inlineStr">
        <is>
          <t>Other Expense</t>
        </is>
      </c>
      <c r="E233" s="2" t="inlineStr">
        <is>
          <t>Warehouse</t>
        </is>
      </c>
      <c r="F233" s="4" t="n">
        <v>52498</v>
      </c>
      <c r="G233" s="2" t="inlineStr">
        <is>
          <t>FY26 TB.csv</t>
        </is>
      </c>
      <c r="H233" s="2" t="inlineStr">
        <is>
          <t>Current Year</t>
        </is>
      </c>
    </row>
    <row r="234">
      <c r="A234" s="2" t="inlineStr">
        <is>
          <t>7223</t>
        </is>
      </c>
      <c r="B234" s="2" t="inlineStr">
        <is>
          <t>7223</t>
        </is>
      </c>
      <c r="C234" s="2" t="inlineStr">
        <is>
          <t>Taxes and Licenses - Corporate</t>
        </is>
      </c>
      <c r="D234" s="2" t="inlineStr">
        <is>
          <t>Other Expense</t>
        </is>
      </c>
      <c r="E234" s="2" t="inlineStr">
        <is>
          <t>Corporate</t>
        </is>
      </c>
      <c r="F234" s="4" t="n">
        <v>38882</v>
      </c>
      <c r="G234" s="2" t="inlineStr">
        <is>
          <t>FY26 TB.csv</t>
        </is>
      </c>
      <c r="H234" s="2" t="inlineStr">
        <is>
          <t>Current Year</t>
        </is>
      </c>
    </row>
    <row r="235">
      <c r="A235" s="2" t="inlineStr">
        <is>
          <t>7233</t>
        </is>
      </c>
      <c r="B235" s="2" t="inlineStr">
        <is>
          <t>7233</t>
        </is>
      </c>
      <c r="C235" s="2" t="inlineStr">
        <is>
          <t>Taxes and Licenses - Warehouse</t>
        </is>
      </c>
      <c r="D235" s="2" t="inlineStr">
        <is>
          <t>Other Expense</t>
        </is>
      </c>
      <c r="E235" s="2" t="inlineStr">
        <is>
          <t>Warehouse</t>
        </is>
      </c>
      <c r="F235" s="4" t="n">
        <v>19881</v>
      </c>
      <c r="G235" s="2" t="inlineStr">
        <is>
          <t>FY26 TB.csv</t>
        </is>
      </c>
      <c r="H235" s="2" t="inlineStr">
        <is>
          <t>Current Year</t>
        </is>
      </c>
    </row>
    <row r="236">
      <c r="A236" s="2" t="inlineStr">
        <is>
          <t>7245</t>
        </is>
      </c>
      <c r="B236" s="2" t="inlineStr">
        <is>
          <t>7245</t>
        </is>
      </c>
      <c r="C236" s="2" t="inlineStr">
        <is>
          <t>Taxes and Licenses - Sales</t>
        </is>
      </c>
      <c r="D236" s="2" t="inlineStr">
        <is>
          <t>Other Expense</t>
        </is>
      </c>
      <c r="E236" s="2" t="inlineStr">
        <is>
          <t>Sales</t>
        </is>
      </c>
      <c r="F236" s="4" t="n">
        <v>6575</v>
      </c>
      <c r="G236" s="2" t="inlineStr">
        <is>
          <t>FY26 TB.csv</t>
        </is>
      </c>
      <c r="H236" s="2" t="inlineStr">
        <is>
          <t>Current Year</t>
        </is>
      </c>
    </row>
    <row r="237">
      <c r="A237" s="2" t="inlineStr">
        <is>
          <t>1030</t>
        </is>
      </c>
      <c r="B237" s="2" t="inlineStr">
        <is>
          <t>1030</t>
        </is>
      </c>
      <c r="C237" s="2" t="inlineStr">
        <is>
          <t>Cash - Corporate</t>
        </is>
      </c>
      <c r="D237" s="2" t="inlineStr">
        <is>
          <t>Assets</t>
        </is>
      </c>
      <c r="E237" s="2" t="inlineStr">
        <is>
          <t>Corporate</t>
        </is>
      </c>
      <c r="F237" s="4" t="n">
        <v>42000</v>
      </c>
      <c r="G237" s="2" t="inlineStr">
        <is>
          <t>FY26 TB.csv</t>
        </is>
      </c>
      <c r="H237" s="2" t="inlineStr">
        <is>
          <t>Current Year</t>
        </is>
      </c>
    </row>
    <row r="238">
      <c r="A238" s="2" t="inlineStr">
        <is>
          <t>1210</t>
        </is>
      </c>
      <c r="B238" s="2" t="inlineStr">
        <is>
          <t>1210</t>
        </is>
      </c>
      <c r="C238" s="2" t="inlineStr">
        <is>
          <t>Accounts Receivable - Sales</t>
        </is>
      </c>
      <c r="D238" s="2" t="inlineStr">
        <is>
          <t>Assets</t>
        </is>
      </c>
      <c r="E238" s="2" t="inlineStr">
        <is>
          <t>Sales</t>
        </is>
      </c>
      <c r="F238" s="4" t="n">
        <v>610000</v>
      </c>
      <c r="G238" s="2" t="inlineStr">
        <is>
          <t>FY26 TB.csv</t>
        </is>
      </c>
      <c r="H238" s="2" t="inlineStr">
        <is>
          <t>Current Year</t>
        </is>
      </c>
    </row>
    <row r="239">
      <c r="A239" s="2" t="inlineStr">
        <is>
          <t>1420</t>
        </is>
      </c>
      <c r="B239" s="2" t="inlineStr">
        <is>
          <t>1420</t>
        </is>
      </c>
      <c r="C239" s="2" t="inlineStr">
        <is>
          <t>Inventory - Warehouse</t>
        </is>
      </c>
      <c r="D239" s="2" t="inlineStr">
        <is>
          <t>Assets</t>
        </is>
      </c>
      <c r="E239" s="2" t="inlineStr">
        <is>
          <t>Warehouse</t>
        </is>
      </c>
      <c r="F239" s="4" t="n">
        <v>820000</v>
      </c>
      <c r="G239" s="2" t="inlineStr">
        <is>
          <t>FY26 TB.csv</t>
        </is>
      </c>
      <c r="H239" s="2" t="inlineStr">
        <is>
          <t>Current Year</t>
        </is>
      </c>
    </row>
    <row r="240">
      <c r="A240" s="2" t="inlineStr">
        <is>
          <t>2110</t>
        </is>
      </c>
      <c r="B240" s="2" t="inlineStr">
        <is>
          <t>2110</t>
        </is>
      </c>
      <c r="C240" s="2" t="inlineStr">
        <is>
          <t>Accounts Payable - Ops</t>
        </is>
      </c>
      <c r="D240" s="2" t="inlineStr">
        <is>
          <t>Liabilities</t>
        </is>
      </c>
      <c r="E240" s="2" t="inlineStr">
        <is>
          <t>Ops</t>
        </is>
      </c>
      <c r="F240" s="4" t="n">
        <v>-515000</v>
      </c>
      <c r="G240" s="2" t="inlineStr">
        <is>
          <t>FY26 TB.csv</t>
        </is>
      </c>
      <c r="H240" s="2" t="inlineStr">
        <is>
          <t>Current Year</t>
        </is>
      </c>
    </row>
    <row r="241">
      <c r="A241" s="2" t="inlineStr">
        <is>
          <t>2360</t>
        </is>
      </c>
      <c r="B241" s="2" t="inlineStr">
        <is>
          <t>2360</t>
        </is>
      </c>
      <c r="C241" s="2" t="inlineStr">
        <is>
          <t>Deferred Revenue - Sales</t>
        </is>
      </c>
      <c r="D241" s="2" t="inlineStr">
        <is>
          <t>Liabilities</t>
        </is>
      </c>
      <c r="E241" s="2" t="inlineStr">
        <is>
          <t>Sales</t>
        </is>
      </c>
      <c r="F241" s="4" t="n">
        <v>-310000</v>
      </c>
      <c r="G241" s="2" t="inlineStr">
        <is>
          <t>FY26 TB.csv</t>
        </is>
      </c>
      <c r="H241" s="2" t="inlineStr">
        <is>
          <t>Current Year</t>
        </is>
      </c>
    </row>
    <row r="242">
      <c r="A242" s="2" t="inlineStr">
        <is>
          <t>4010</t>
        </is>
      </c>
      <c r="B242" s="2" t="inlineStr">
        <is>
          <t>4010</t>
        </is>
      </c>
      <c r="C242" s="2" t="inlineStr">
        <is>
          <t>Product Revenue - Sales</t>
        </is>
      </c>
      <c r="D242" s="2" t="inlineStr">
        <is>
          <t>Revenue</t>
        </is>
      </c>
      <c r="E242" s="2" t="inlineStr">
        <is>
          <t>Sales</t>
        </is>
      </c>
      <c r="F242" s="4" t="n">
        <v>-1880000</v>
      </c>
      <c r="G242" s="2" t="inlineStr">
        <is>
          <t>FY26 TB.csv</t>
        </is>
      </c>
      <c r="H242" s="2" t="inlineStr">
        <is>
          <t>Current Year</t>
        </is>
      </c>
    </row>
    <row r="243">
      <c r="A243" s="2" t="inlineStr">
        <is>
          <t>4120</t>
        </is>
      </c>
      <c r="B243" s="2" t="inlineStr">
        <is>
          <t>4120</t>
        </is>
      </c>
      <c r="C243" s="2" t="inlineStr">
        <is>
          <t>Returns and Allowances - Sales</t>
        </is>
      </c>
      <c r="D243" s="2" t="inlineStr">
        <is>
          <t>Revenue</t>
        </is>
      </c>
      <c r="E243" s="2" t="inlineStr">
        <is>
          <t>Sales</t>
        </is>
      </c>
      <c r="F243" s="4" t="n">
        <v>210000</v>
      </c>
      <c r="G243" s="2" t="inlineStr">
        <is>
          <t>FY26 TB.csv</t>
        </is>
      </c>
      <c r="H243" s="2" t="inlineStr">
        <is>
          <t>Current Year</t>
        </is>
      </c>
    </row>
    <row r="244">
      <c r="A244" s="2" t="inlineStr">
        <is>
          <t>5220</t>
        </is>
      </c>
      <c r="B244" s="2" t="inlineStr">
        <is>
          <t>5220</t>
        </is>
      </c>
      <c r="C244" s="2" t="inlineStr">
        <is>
          <t>Freight In - Warehouse</t>
        </is>
      </c>
      <c r="D244" s="2" t="inlineStr">
        <is>
          <t>COGS</t>
        </is>
      </c>
      <c r="E244" s="2" t="inlineStr">
        <is>
          <t>Warehouse</t>
        </is>
      </c>
      <c r="F244" s="4" t="n">
        <v>205000</v>
      </c>
      <c r="G244" s="2" t="inlineStr">
        <is>
          <t>FY26 TB.csv</t>
        </is>
      </c>
      <c r="H244" s="2" t="inlineStr">
        <is>
          <t>Current Year</t>
        </is>
      </c>
    </row>
    <row r="245">
      <c r="A245" s="2" t="inlineStr">
        <is>
          <t>6120</t>
        </is>
      </c>
      <c r="B245" s="2" t="inlineStr">
        <is>
          <t>6120</t>
        </is>
      </c>
      <c r="C245" s="2" t="inlineStr">
        <is>
          <t>Professional Fees - Corporate</t>
        </is>
      </c>
      <c r="D245" s="2" t="inlineStr">
        <is>
          <t>Operating Expenses</t>
        </is>
      </c>
      <c r="E245" s="2" t="inlineStr">
        <is>
          <t>Corporate</t>
        </is>
      </c>
      <c r="F245" s="4" t="n">
        <v>265000</v>
      </c>
      <c r="G245" s="2" t="inlineStr">
        <is>
          <t>FY26 TB.csv</t>
        </is>
      </c>
      <c r="H245" s="2" t="inlineStr">
        <is>
          <t>Current Year</t>
        </is>
      </c>
    </row>
    <row r="246">
      <c r="A246" s="2" t="inlineStr">
        <is>
          <t>6330</t>
        </is>
      </c>
      <c r="B246" s="2" t="inlineStr">
        <is>
          <t>6330</t>
        </is>
      </c>
      <c r="C246" s="2" t="inlineStr">
        <is>
          <t>Software - IT</t>
        </is>
      </c>
      <c r="D246" s="2" t="inlineStr">
        <is>
          <t>Operating Expenses</t>
        </is>
      </c>
      <c r="E246" s="2" t="inlineStr">
        <is>
          <t>IT</t>
        </is>
      </c>
      <c r="F246" s="4" t="n">
        <v>155000</v>
      </c>
      <c r="G246" s="2" t="inlineStr">
        <is>
          <t>FY26 TB.csv</t>
        </is>
      </c>
      <c r="H246" s="2" t="inlineStr">
        <is>
          <t>Current Year</t>
        </is>
      </c>
    </row>
    <row r="247">
      <c r="A247" s="2" t="inlineStr">
        <is>
          <t>6420</t>
        </is>
      </c>
      <c r="B247" s="2" t="inlineStr">
        <is>
          <t>6420</t>
        </is>
      </c>
      <c r="C247" s="2" t="inlineStr">
        <is>
          <t>Travel - Sales</t>
        </is>
      </c>
      <c r="D247" s="2" t="inlineStr">
        <is>
          <t>Operating Expenses</t>
        </is>
      </c>
      <c r="E247" s="2" t="inlineStr">
        <is>
          <t>Sales</t>
        </is>
      </c>
      <c r="F247" s="4" t="n">
        <v>97000</v>
      </c>
      <c r="G247" s="2" t="inlineStr">
        <is>
          <t>FY26 TB.csv</t>
        </is>
      </c>
      <c r="H247" s="2" t="inlineStr">
        <is>
          <t>Current Year</t>
        </is>
      </c>
    </row>
    <row r="248">
      <c r="A248" s="2" t="inlineStr">
        <is>
          <t>7110</t>
        </is>
      </c>
      <c r="B248" s="2" t="inlineStr">
        <is>
          <t>7110</t>
        </is>
      </c>
      <c r="C248" s="2" t="inlineStr">
        <is>
          <t>Interest Expense - Corporate</t>
        </is>
      </c>
      <c r="D248" s="2" t="inlineStr">
        <is>
          <t>Other Expense</t>
        </is>
      </c>
      <c r="E248" s="2" t="inlineStr">
        <is>
          <t>Corporate</t>
        </is>
      </c>
      <c r="F248" s="4" t="n">
        <v>116000</v>
      </c>
      <c r="G248" s="2" t="inlineStr">
        <is>
          <t>FY26 TB.csv</t>
        </is>
      </c>
      <c r="H248" s="2" t="inlineStr">
        <is>
          <t>Current Year</t>
        </is>
      </c>
    </row>
  </sheetData>
  <autoFilter ref="A1:H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2" customWidth="1" min="1" max="1"/>
    <col width="12" customWidth="1" min="2" max="2"/>
    <col width="16" customWidth="1" min="3" max="3"/>
    <col width="36" customWidth="1" min="4" max="4"/>
    <col width="20" customWidth="1" min="5" max="5"/>
    <col width="12" customWidth="1" min="6" max="6"/>
    <col width="49" customWidth="1" min="7" max="7"/>
    <col width="53" customWidth="1" min="8" max="8"/>
    <col width="15" customWidth="1" min="9" max="9"/>
    <col width="27" customWidth="1" min="10" max="10"/>
    <col width="18" customWidth="1" min="11" max="11"/>
    <col width="20" customWidth="1" min="12" max="12"/>
    <col width="35" customWidth="1" min="13" max="13"/>
    <col width="58" customWidth="1" min="14" max="14"/>
    <col width="52" customWidth="1" min="15" max="15"/>
  </cols>
  <sheetData>
    <row r="1">
      <c r="A1" s="1" t="inlineStr">
        <is>
          <t>match_key</t>
        </is>
      </c>
      <c r="B1" s="1" t="inlineStr">
        <is>
          <t>Rank</t>
        </is>
      </c>
      <c r="C1" s="1" t="inlineStr">
        <is>
          <t>Account Number</t>
        </is>
      </c>
      <c r="D1" s="1" t="inlineStr">
        <is>
          <t>Account Name</t>
        </is>
      </c>
      <c r="E1" s="1" t="inlineStr">
        <is>
          <t>Account Category</t>
        </is>
      </c>
      <c r="F1" s="1" t="inlineStr">
        <is>
          <t>Department</t>
        </is>
      </c>
      <c r="G1" s="1" t="inlineStr">
        <is>
          <t>Prior Year Balance</t>
        </is>
      </c>
      <c r="H1" s="1" t="inlineStr">
        <is>
          <t>Current Year Balance</t>
        </is>
      </c>
      <c r="I1" s="1" t="inlineStr">
        <is>
          <t>Dollar Change</t>
        </is>
      </c>
      <c r="J1" s="1" t="inlineStr">
        <is>
          <t>Percent Change</t>
        </is>
      </c>
      <c r="K1" s="1" t="inlineStr">
        <is>
          <t>Change Direction</t>
        </is>
      </c>
      <c r="L1" s="1" t="inlineStr">
        <is>
          <t>Question Triggered</t>
        </is>
      </c>
      <c r="M1" s="1" t="inlineStr">
        <is>
          <t>Question Trigger Reason</t>
        </is>
      </c>
      <c r="N1" s="1" t="inlineStr">
        <is>
          <t>Suggested Client Questions</t>
        </is>
      </c>
      <c r="O1" s="1" t="inlineStr">
        <is>
          <t>Analysis Notes</t>
        </is>
      </c>
    </row>
    <row r="2">
      <c r="A2" s="2" t="inlineStr">
        <is>
          <t>4010</t>
        </is>
      </c>
      <c r="B2" s="2" t="n">
        <v>1</v>
      </c>
      <c r="C2" s="2" t="inlineStr">
        <is>
          <t>4010</t>
        </is>
      </c>
      <c r="D2" s="2" t="inlineStr">
        <is>
          <t>Product Revenue - Sales</t>
        </is>
      </c>
      <c r="E2" s="2" t="inlineStr">
        <is>
          <t>Revenue</t>
        </is>
      </c>
      <c r="F2" s="2" t="inlineStr">
        <is>
          <t>Sales</t>
        </is>
      </c>
      <c r="G2" s="4">
        <f>SUMIF(Prior_Year_TB!A:A,A2,Prior_Year_TB!F:F)</f>
        <v/>
      </c>
      <c r="H2" s="4">
        <f>SUMIF(Current_Year_TB!A:A,A2,Current_Year_TB!F:F)</f>
        <v/>
      </c>
      <c r="I2" s="4">
        <f>H2-G2</f>
        <v/>
      </c>
      <c r="J2" s="5">
        <f>IFERROR(I2/ABS(G2),"")</f>
        <v/>
      </c>
      <c r="K2" s="2" t="inlineStr">
        <is>
          <t>Decrease</t>
        </is>
      </c>
      <c r="L2" s="2" t="inlineStr">
        <is>
          <t>Yes</t>
        </is>
      </c>
      <c r="M2" s="2" t="inlineStr">
        <is>
          <t>Dollar and percent thresholds met</t>
        </is>
      </c>
      <c r="N2" s="3" t="inlineStr">
        <is>
          <t>What changes in volume, pricing, customers, contracts, cutoff, or reclassification explain this revenue variance?</t>
        </is>
      </c>
      <c r="O2" s="3" t="inlineStr">
        <is>
          <t>Current-year balance decreased by $630,000 compared with prior year.</t>
        </is>
      </c>
    </row>
    <row r="3">
      <c r="A3" s="2" t="inlineStr">
        <is>
          <t>1420</t>
        </is>
      </c>
      <c r="B3" s="2" t="n">
        <v>2</v>
      </c>
      <c r="C3" s="2" t="inlineStr">
        <is>
          <t>1420</t>
        </is>
      </c>
      <c r="D3" s="2" t="inlineStr">
        <is>
          <t>Inventory - Warehouse</t>
        </is>
      </c>
      <c r="E3" s="2" t="inlineStr">
        <is>
          <t>Assets</t>
        </is>
      </c>
      <c r="F3" s="2" t="inlineStr">
        <is>
          <t>Warehouse</t>
        </is>
      </c>
      <c r="G3" s="4">
        <f>SUMIF(Prior_Year_TB!A:A,A3,Prior_Year_TB!F:F)</f>
        <v/>
      </c>
      <c r="H3" s="4">
        <f>SUMIF(Current_Year_TB!A:A,A3,Current_Year_TB!F:F)</f>
        <v/>
      </c>
      <c r="I3" s="4">
        <f>H3-G3</f>
        <v/>
      </c>
      <c r="J3" s="5">
        <f>IFERROR(I3/ABS(G3),"")</f>
        <v/>
      </c>
      <c r="K3" s="2" t="inlineStr">
        <is>
          <t>Increase</t>
        </is>
      </c>
      <c r="L3" s="2" t="inlineStr">
        <is>
          <t>Yes</t>
        </is>
      </c>
      <c r="M3" s="2" t="inlineStr">
        <is>
          <t>Dollar and percent thresholds met</t>
        </is>
      </c>
      <c r="N3" s="3" t="inlineStr">
        <is>
          <t>What purchase volume, count adjustment, costing, obsolescence, or write-down activity explains this inventory variance?</t>
        </is>
      </c>
      <c r="O3" s="3" t="inlineStr">
        <is>
          <t>Current-year balance increased by $340,000 compared with prior year.</t>
        </is>
      </c>
    </row>
    <row r="4">
      <c r="A4" s="2" t="inlineStr">
        <is>
          <t>3053</t>
        </is>
      </c>
      <c r="B4" s="2" t="n">
        <v>3</v>
      </c>
      <c r="C4" s="2" t="inlineStr">
        <is>
          <t>3053</t>
        </is>
      </c>
      <c r="D4" s="2" t="inlineStr">
        <is>
          <t>Common Stock - IT</t>
        </is>
      </c>
      <c r="E4" s="2" t="inlineStr">
        <is>
          <t>Equity</t>
        </is>
      </c>
      <c r="F4" s="2" t="inlineStr">
        <is>
          <t>IT</t>
        </is>
      </c>
      <c r="G4" s="4">
        <f>SUMIF(Prior_Year_TB!A:A,A4,Prior_Year_TB!F:F)</f>
        <v/>
      </c>
      <c r="H4" s="4">
        <f>SUMIF(Current_Year_TB!A:A,A4,Current_Year_TB!F:F)</f>
        <v/>
      </c>
      <c r="I4" s="4">
        <f>H4-G4</f>
        <v/>
      </c>
      <c r="J4" s="5">
        <f>IFERROR(I4/ABS(G4),"")</f>
        <v/>
      </c>
      <c r="K4" s="2" t="inlineStr">
        <is>
          <t>Decrease</t>
        </is>
      </c>
      <c r="L4" s="2" t="inlineStr">
        <is>
          <t>Yes</t>
        </is>
      </c>
      <c r="M4" s="2" t="inlineStr">
        <is>
          <t>Dollar and percent thresholds met</t>
        </is>
      </c>
      <c r="N4" s="3" t="inlineStr">
        <is>
          <t>This account changed materially. What underlying activity, timing, cutoff, settlement, or reclassification explains the variance?</t>
        </is>
      </c>
      <c r="O4" s="3" t="inlineStr">
        <is>
          <t>Current-year balance decreased by $332,777 compared with prior year.</t>
        </is>
      </c>
    </row>
    <row r="5">
      <c r="A5" s="2" t="inlineStr">
        <is>
          <t>1210</t>
        </is>
      </c>
      <c r="B5" s="2" t="n">
        <v>4</v>
      </c>
      <c r="C5" s="2" t="inlineStr">
        <is>
          <t>1210</t>
        </is>
      </c>
      <c r="D5" s="2" t="inlineStr">
        <is>
          <t>Accounts Receivable - Sales</t>
        </is>
      </c>
      <c r="E5" s="2" t="inlineStr">
        <is>
          <t>Assets</t>
        </is>
      </c>
      <c r="F5" s="2" t="inlineStr">
        <is>
          <t>Sales</t>
        </is>
      </c>
      <c r="G5" s="4">
        <f>SUMIF(Prior_Year_TB!A:A,A5,Prior_Year_TB!F:F)</f>
        <v/>
      </c>
      <c r="H5" s="4">
        <f>SUMIF(Current_Year_TB!A:A,A5,Current_Year_TB!F:F)</f>
        <v/>
      </c>
      <c r="I5" s="4">
        <f>H5-G5</f>
        <v/>
      </c>
      <c r="J5" s="5">
        <f>IFERROR(I5/ABS(G5),"")</f>
        <v/>
      </c>
      <c r="K5" s="2" t="inlineStr">
        <is>
          <t>Increase</t>
        </is>
      </c>
      <c r="L5" s="2" t="inlineStr">
        <is>
          <t>Yes</t>
        </is>
      </c>
      <c r="M5" s="2" t="inlineStr">
        <is>
          <t>Dollar and percent thresholds met</t>
        </is>
      </c>
      <c r="N5" s="3" t="inlineStr">
        <is>
          <t>What changes in volume, pricing, customers, contracts, cutoff, or reclassification explain this revenue variance?</t>
        </is>
      </c>
      <c r="O5" s="3" t="inlineStr">
        <is>
          <t>Current-year balance increased by $300,000 compared with prior year.</t>
        </is>
      </c>
    </row>
    <row r="6">
      <c r="A6" s="2" t="inlineStr">
        <is>
          <t>2110</t>
        </is>
      </c>
      <c r="B6" s="2" t="n">
        <v>5</v>
      </c>
      <c r="C6" s="2" t="inlineStr">
        <is>
          <t>2110</t>
        </is>
      </c>
      <c r="D6" s="2" t="inlineStr">
        <is>
          <t>Accounts Payable - Ops</t>
        </is>
      </c>
      <c r="E6" s="2" t="inlineStr">
        <is>
          <t>Liabilities</t>
        </is>
      </c>
      <c r="F6" s="2" t="inlineStr">
        <is>
          <t>Ops</t>
        </is>
      </c>
      <c r="G6" s="4">
        <f>SUMIF(Prior_Year_TB!A:A,A6,Prior_Year_TB!F:F)</f>
        <v/>
      </c>
      <c r="H6" s="4">
        <f>SUMIF(Current_Year_TB!A:A,A6,Current_Year_TB!F:F)</f>
        <v/>
      </c>
      <c r="I6" s="4">
        <f>H6-G6</f>
        <v/>
      </c>
      <c r="J6" s="5">
        <f>IFERROR(I6/ABS(G6),"")</f>
        <v/>
      </c>
      <c r="K6" s="2" t="inlineStr">
        <is>
          <t>Decrease</t>
        </is>
      </c>
      <c r="L6" s="2" t="inlineStr">
        <is>
          <t>Yes</t>
        </is>
      </c>
      <c r="M6" s="2" t="inlineStr">
        <is>
          <t>Dollar and percent thresholds met</t>
        </is>
      </c>
      <c r="N6" s="3" t="inlineStr">
        <is>
          <t>What vendor timing, unrecorded liability, reversal, new obligation, cutoff, or reclassification activity explains this payable or accrual variance?</t>
        </is>
      </c>
      <c r="O6" s="3" t="inlineStr">
        <is>
          <t>Current-year balance decreased by $290,000 compared with prior year.</t>
        </is>
      </c>
    </row>
    <row r="7">
      <c r="A7" s="2" t="inlineStr">
        <is>
          <t>3161</t>
        </is>
      </c>
      <c r="B7" s="2" t="n">
        <v>6</v>
      </c>
      <c r="C7" s="2" t="inlineStr">
        <is>
          <t>3161</t>
        </is>
      </c>
      <c r="D7" s="2" t="inlineStr">
        <is>
          <t>Retained Earnings - IT</t>
        </is>
      </c>
      <c r="E7" s="2" t="inlineStr">
        <is>
          <t>Equity</t>
        </is>
      </c>
      <c r="F7" s="2" t="inlineStr">
        <is>
          <t>IT</t>
        </is>
      </c>
      <c r="G7" s="4">
        <f>SUMIF(Prior_Year_TB!A:A,A7,Prior_Year_TB!F:F)</f>
        <v/>
      </c>
      <c r="H7" s="4">
        <f>SUMIF(Current_Year_TB!A:A,A7,Current_Year_TB!F:F)</f>
        <v/>
      </c>
      <c r="I7" s="4">
        <f>H7-G7</f>
        <v/>
      </c>
      <c r="J7" s="5">
        <f>IFERROR(I7/ABS(G7),"")</f>
        <v/>
      </c>
      <c r="K7" s="2" t="inlineStr">
        <is>
          <t>Decrease</t>
        </is>
      </c>
      <c r="L7" s="2" t="inlineStr">
        <is>
          <t>Yes</t>
        </is>
      </c>
      <c r="M7" s="2" t="inlineStr">
        <is>
          <t>Dollar and percent thresholds met</t>
        </is>
      </c>
      <c r="N7" s="3" t="inlineStr">
        <is>
          <t>What contributions, distributions, retained earnings activity, or closing entries explain this equity variance?</t>
        </is>
      </c>
      <c r="O7" s="3" t="inlineStr">
        <is>
          <t>Current-year balance decreased by $252,765 compared with prior year.</t>
        </is>
      </c>
    </row>
    <row r="8">
      <c r="A8" s="2" t="inlineStr">
        <is>
          <t>2360</t>
        </is>
      </c>
      <c r="B8" s="2" t="n">
        <v>7</v>
      </c>
      <c r="C8" s="2" t="inlineStr">
        <is>
          <t>2360</t>
        </is>
      </c>
      <c r="D8" s="2" t="inlineStr">
        <is>
          <t>Deferred Revenue - Sales</t>
        </is>
      </c>
      <c r="E8" s="2" t="inlineStr">
        <is>
          <t>Liabilities</t>
        </is>
      </c>
      <c r="F8" s="2" t="inlineStr">
        <is>
          <t>Sales</t>
        </is>
      </c>
      <c r="G8" s="4">
        <f>SUMIF(Prior_Year_TB!A:A,A8,Prior_Year_TB!F:F)</f>
        <v/>
      </c>
      <c r="H8" s="4">
        <f>SUMIF(Current_Year_TB!A:A,A8,Current_Year_TB!F:F)</f>
        <v/>
      </c>
      <c r="I8" s="4">
        <f>H8-G8</f>
        <v/>
      </c>
      <c r="J8" s="5">
        <f>IFERROR(I8/ABS(G8),"")</f>
        <v/>
      </c>
      <c r="K8" s="2" t="inlineStr">
        <is>
          <t>Decrease</t>
        </is>
      </c>
      <c r="L8" s="2" t="inlineStr">
        <is>
          <t>Yes</t>
        </is>
      </c>
      <c r="M8" s="2" t="inlineStr">
        <is>
          <t>Dollar and percent thresholds met</t>
        </is>
      </c>
      <c r="N8" s="3" t="inlineStr">
        <is>
          <t>What changes in volume, pricing, customers, contracts, cutoff, or reclassification explain this revenue variance?</t>
        </is>
      </c>
      <c r="O8" s="3" t="inlineStr">
        <is>
          <t>Current-year balance decreased by $220,000 compared with prior year.</t>
        </is>
      </c>
    </row>
    <row r="9">
      <c r="A9" s="2" t="inlineStr">
        <is>
          <t>6120</t>
        </is>
      </c>
      <c r="B9" s="2" t="n">
        <v>8</v>
      </c>
      <c r="C9" s="2" t="inlineStr">
        <is>
          <t>6120</t>
        </is>
      </c>
      <c r="D9" s="2" t="inlineStr">
        <is>
          <t>Professional Fees - Corporate</t>
        </is>
      </c>
      <c r="E9" s="2" t="inlineStr">
        <is>
          <t>Operating Expenses</t>
        </is>
      </c>
      <c r="F9" s="2" t="inlineStr">
        <is>
          <t>Corporate</t>
        </is>
      </c>
      <c r="G9" s="4">
        <f>SUMIF(Prior_Year_TB!A:A,A9,Prior_Year_TB!F:F)</f>
        <v/>
      </c>
      <c r="H9" s="4">
        <f>SUMIF(Current_Year_TB!A:A,A9,Current_Year_TB!F:F)</f>
        <v/>
      </c>
      <c r="I9" s="4">
        <f>H9-G9</f>
        <v/>
      </c>
      <c r="J9" s="5">
        <f>IFERROR(I9/ABS(G9),"")</f>
        <v/>
      </c>
      <c r="K9" s="2" t="inlineStr">
        <is>
          <t>Increase</t>
        </is>
      </c>
      <c r="L9" s="2" t="inlineStr">
        <is>
          <t>Yes</t>
        </is>
      </c>
      <c r="M9" s="2" t="inlineStr">
        <is>
          <t>Dollar and percent thresholds met</t>
        </is>
      </c>
      <c r="N9" s="3" t="inlineStr">
        <is>
          <t>What new vendors, one-time projects, renewals, implementation work, timing, or reclassifications explain this operating expense variance?</t>
        </is>
      </c>
      <c r="O9" s="3" t="inlineStr">
        <is>
          <t>Current-year balance increased by $201,000 compared with prior year.</t>
        </is>
      </c>
    </row>
    <row r="10">
      <c r="A10" s="2" t="inlineStr">
        <is>
          <t>4120</t>
        </is>
      </c>
      <c r="B10" s="2" t="n">
        <v>9</v>
      </c>
      <c r="C10" s="2" t="inlineStr">
        <is>
          <t>4120</t>
        </is>
      </c>
      <c r="D10" s="2" t="inlineStr">
        <is>
          <t>Discounts - Ops</t>
        </is>
      </c>
      <c r="E10" s="2" t="inlineStr">
        <is>
          <t>Revenue</t>
        </is>
      </c>
      <c r="F10" s="2" t="inlineStr">
        <is>
          <t>Ops</t>
        </is>
      </c>
      <c r="G10" s="4">
        <f>SUMIF(Prior_Year_TB!A:A,A10,Prior_Year_TB!F:F)</f>
        <v/>
      </c>
      <c r="H10" s="4">
        <f>SUMIF(Current_Year_TB!A:A,A10,Current_Year_TB!F:F)</f>
        <v/>
      </c>
      <c r="I10" s="4">
        <f>H10-G10</f>
        <v/>
      </c>
      <c r="J10" s="5">
        <f>IFERROR(I10/ABS(G10),"")</f>
        <v/>
      </c>
      <c r="K10" s="2" t="inlineStr">
        <is>
          <t>Increase</t>
        </is>
      </c>
      <c r="L10" s="2" t="inlineStr">
        <is>
          <t>No</t>
        </is>
      </c>
      <c r="M10" s="2" t="inlineStr"/>
      <c r="N10" s="3" t="inlineStr"/>
      <c r="O10" s="3" t="inlineStr">
        <is>
          <t>Current-year balance increased by $159,807 compared with prior year.</t>
        </is>
      </c>
    </row>
    <row r="11">
      <c r="A11" s="2" t="inlineStr">
        <is>
          <t>1030</t>
        </is>
      </c>
      <c r="B11" s="2" t="n">
        <v>10</v>
      </c>
      <c r="C11" s="2" t="inlineStr">
        <is>
          <t>1030</t>
        </is>
      </c>
      <c r="D11" s="2" t="inlineStr">
        <is>
          <t>Cash - Corporate</t>
        </is>
      </c>
      <c r="E11" s="2" t="inlineStr">
        <is>
          <t>Assets</t>
        </is>
      </c>
      <c r="F11" s="2" t="inlineStr">
        <is>
          <t>Corporate</t>
        </is>
      </c>
      <c r="G11" s="4">
        <f>SUMIF(Prior_Year_TB!A:A,A11,Prior_Year_TB!F:F)</f>
        <v/>
      </c>
      <c r="H11" s="4">
        <f>SUMIF(Current_Year_TB!A:A,A11,Current_Year_TB!F:F)</f>
        <v/>
      </c>
      <c r="I11" s="4">
        <f>H11-G11</f>
        <v/>
      </c>
      <c r="J11" s="5">
        <f>IFERROR(I11/ABS(G11),"")</f>
        <v/>
      </c>
      <c r="K11" s="2" t="inlineStr">
        <is>
          <t>Decrease</t>
        </is>
      </c>
      <c r="L11" s="2" t="inlineStr">
        <is>
          <t>No</t>
        </is>
      </c>
      <c r="M11" s="2" t="inlineStr"/>
      <c r="N11" s="3" t="inlineStr"/>
      <c r="O11" s="3" t="inlineStr">
        <is>
          <t>Current-year balance decreased by $143,000 compared with prior year.</t>
        </is>
      </c>
    </row>
    <row r="12">
      <c r="A12" s="2" t="inlineStr">
        <is>
          <t>3005</t>
        </is>
      </c>
      <c r="B12" s="2" t="n">
        <v>11</v>
      </c>
      <c r="C12" s="2" t="inlineStr">
        <is>
          <t>3005</t>
        </is>
      </c>
      <c r="D12" s="2" t="inlineStr">
        <is>
          <t>Distributions - IT</t>
        </is>
      </c>
      <c r="E12" s="2" t="inlineStr">
        <is>
          <t>Equity</t>
        </is>
      </c>
      <c r="F12" s="2" t="inlineStr">
        <is>
          <t>IT</t>
        </is>
      </c>
      <c r="G12" s="4">
        <f>SUMIF(Prior_Year_TB!A:A,A12,Prior_Year_TB!F:F)</f>
        <v/>
      </c>
      <c r="H12" s="4">
        <f>SUMIF(Current_Year_TB!A:A,A12,Current_Year_TB!F:F)</f>
        <v/>
      </c>
      <c r="I12" s="4">
        <f>H12-G12</f>
        <v/>
      </c>
      <c r="J12" s="5">
        <f>IFERROR(I12/ABS(G12),"")</f>
        <v/>
      </c>
      <c r="K12" s="2" t="inlineStr">
        <is>
          <t>Decrease</t>
        </is>
      </c>
      <c r="L12" s="2" t="inlineStr">
        <is>
          <t>No</t>
        </is>
      </c>
      <c r="M12" s="2" t="inlineStr"/>
      <c r="N12" s="3" t="inlineStr"/>
      <c r="O12" s="3" t="inlineStr">
        <is>
          <t>Current-year balance decreased by $138,048 compared with prior year.</t>
        </is>
      </c>
    </row>
    <row r="13">
      <c r="A13" s="2" t="inlineStr">
        <is>
          <t>5220</t>
        </is>
      </c>
      <c r="B13" s="2" t="n">
        <v>12</v>
      </c>
      <c r="C13" s="2" t="inlineStr">
        <is>
          <t>5220</t>
        </is>
      </c>
      <c r="D13" s="2" t="inlineStr">
        <is>
          <t>Freight In - Warehouse</t>
        </is>
      </c>
      <c r="E13" s="2" t="inlineStr">
        <is>
          <t>COGS</t>
        </is>
      </c>
      <c r="F13" s="2" t="inlineStr">
        <is>
          <t>Warehouse</t>
        </is>
      </c>
      <c r="G13" s="4">
        <f>SUMIF(Prior_Year_TB!A:A,A13,Prior_Year_TB!F:F)</f>
        <v/>
      </c>
      <c r="H13" s="4">
        <f>SUMIF(Current_Year_TB!A:A,A13,Current_Year_TB!F:F)</f>
        <v/>
      </c>
      <c r="I13" s="4">
        <f>H13-G13</f>
        <v/>
      </c>
      <c r="J13" s="5">
        <f>IFERROR(I13/ABS(G13),"")</f>
        <v/>
      </c>
      <c r="K13" s="2" t="inlineStr">
        <is>
          <t>Increase</t>
        </is>
      </c>
      <c r="L13" s="2" t="inlineStr">
        <is>
          <t>No</t>
        </is>
      </c>
      <c r="M13" s="2" t="inlineStr"/>
      <c r="N13" s="3" t="inlineStr"/>
      <c r="O13" s="3" t="inlineStr">
        <is>
          <t>Current-year balance increased by $129,000 compared with prior year.</t>
        </is>
      </c>
    </row>
    <row r="14">
      <c r="A14" s="2" t="inlineStr">
        <is>
          <t>3092</t>
        </is>
      </c>
      <c r="B14" s="2" t="n">
        <v>13</v>
      </c>
      <c r="C14" s="2" t="inlineStr">
        <is>
          <t>3092</t>
        </is>
      </c>
      <c r="D14" s="2" t="inlineStr">
        <is>
          <t>Current Year Earnings - IT</t>
        </is>
      </c>
      <c r="E14" s="2" t="inlineStr">
        <is>
          <t>Equity</t>
        </is>
      </c>
      <c r="F14" s="2" t="inlineStr">
        <is>
          <t>IT</t>
        </is>
      </c>
      <c r="G14" s="4">
        <f>SUMIF(Prior_Year_TB!A:A,A14,Prior_Year_TB!F:F)</f>
        <v/>
      </c>
      <c r="H14" s="4">
        <f>SUMIF(Current_Year_TB!A:A,A14,Current_Year_TB!F:F)</f>
        <v/>
      </c>
      <c r="I14" s="4">
        <f>H14-G14</f>
        <v/>
      </c>
      <c r="J14" s="5">
        <f>IFERROR(I14/ABS(G14),"")</f>
        <v/>
      </c>
      <c r="K14" s="2" t="inlineStr">
        <is>
          <t>Increase</t>
        </is>
      </c>
      <c r="L14" s="2" t="inlineStr">
        <is>
          <t>No</t>
        </is>
      </c>
      <c r="M14" s="2" t="inlineStr"/>
      <c r="N14" s="3" t="inlineStr"/>
      <c r="O14" s="3" t="inlineStr">
        <is>
          <t>Current-year balance increased by $123,566 compared with prior year.</t>
        </is>
      </c>
    </row>
    <row r="15">
      <c r="A15" s="2" t="inlineStr">
        <is>
          <t>6330</t>
        </is>
      </c>
      <c r="B15" s="2" t="n">
        <v>14</v>
      </c>
      <c r="C15" s="2" t="inlineStr">
        <is>
          <t>6330</t>
        </is>
      </c>
      <c r="D15" s="2" t="inlineStr">
        <is>
          <t>Software - IT</t>
        </is>
      </c>
      <c r="E15" s="2" t="inlineStr">
        <is>
          <t>Operating Expenses</t>
        </is>
      </c>
      <c r="F15" s="2" t="inlineStr">
        <is>
          <t>IT</t>
        </is>
      </c>
      <c r="G15" s="4">
        <f>SUMIF(Prior_Year_TB!A:A,A15,Prior_Year_TB!F:F)</f>
        <v/>
      </c>
      <c r="H15" s="4">
        <f>SUMIF(Current_Year_TB!A:A,A15,Current_Year_TB!F:F)</f>
        <v/>
      </c>
      <c r="I15" s="4">
        <f>H15-G15</f>
        <v/>
      </c>
      <c r="J15" s="5">
        <f>IFERROR(I15/ABS(G15),"")</f>
        <v/>
      </c>
      <c r="K15" s="2" t="inlineStr">
        <is>
          <t>Increase</t>
        </is>
      </c>
      <c r="L15" s="2" t="inlineStr">
        <is>
          <t>No</t>
        </is>
      </c>
      <c r="M15" s="2" t="inlineStr"/>
      <c r="N15" s="3" t="inlineStr"/>
      <c r="O15" s="3" t="inlineStr">
        <is>
          <t>Current-year balance increased by $114,000 compared with prior year.</t>
        </is>
      </c>
    </row>
    <row r="16">
      <c r="A16" s="2" t="inlineStr">
        <is>
          <t>7110</t>
        </is>
      </c>
      <c r="B16" s="2" t="n">
        <v>15</v>
      </c>
      <c r="C16" s="2" t="inlineStr">
        <is>
          <t>7110</t>
        </is>
      </c>
      <c r="D16" s="2" t="inlineStr">
        <is>
          <t>Interest Expense - Corporate</t>
        </is>
      </c>
      <c r="E16" s="2" t="inlineStr">
        <is>
          <t>Other Expense</t>
        </is>
      </c>
      <c r="F16" s="2" t="inlineStr">
        <is>
          <t>Corporate</t>
        </is>
      </c>
      <c r="G16" s="4">
        <f>SUMIF(Prior_Year_TB!A:A,A16,Prior_Year_TB!F:F)</f>
        <v/>
      </c>
      <c r="H16" s="4">
        <f>SUMIF(Current_Year_TB!A:A,A16,Current_Year_TB!F:F)</f>
        <v/>
      </c>
      <c r="I16" s="4">
        <f>H16-G16</f>
        <v/>
      </c>
      <c r="J16" s="5">
        <f>IFERROR(I16/ABS(G16),"")</f>
        <v/>
      </c>
      <c r="K16" s="2" t="inlineStr">
        <is>
          <t>Increase</t>
        </is>
      </c>
      <c r="L16" s="2" t="inlineStr">
        <is>
          <t>No</t>
        </is>
      </c>
      <c r="M16" s="2" t="inlineStr"/>
      <c r="N16" s="3" t="inlineStr"/>
      <c r="O16" s="3" t="inlineStr">
        <is>
          <t>Current-year balance increased by $94,000 compared with prior year.</t>
        </is>
      </c>
    </row>
    <row r="17">
      <c r="A17" s="2" t="inlineStr">
        <is>
          <t>3145</t>
        </is>
      </c>
      <c r="B17" s="2" t="n">
        <v>16</v>
      </c>
      <c r="C17" s="2" t="inlineStr">
        <is>
          <t>3145</t>
        </is>
      </c>
      <c r="D17" s="2" t="inlineStr">
        <is>
          <t>Current Year Earnings - Warehouse</t>
        </is>
      </c>
      <c r="E17" s="2" t="inlineStr">
        <is>
          <t>Equity</t>
        </is>
      </c>
      <c r="F17" s="2" t="inlineStr">
        <is>
          <t>Warehouse</t>
        </is>
      </c>
      <c r="G17" s="4">
        <f>SUMIF(Prior_Year_TB!A:A,A17,Prior_Year_TB!F:F)</f>
        <v/>
      </c>
      <c r="H17" s="4">
        <f>SUMIF(Current_Year_TB!A:A,A17,Current_Year_TB!F:F)</f>
        <v/>
      </c>
      <c r="I17" s="4">
        <f>H17-G17</f>
        <v/>
      </c>
      <c r="J17" s="5">
        <f>IFERROR(I17/ABS(G17),"")</f>
        <v/>
      </c>
      <c r="K17" s="2" t="inlineStr">
        <is>
          <t>Decrease</t>
        </is>
      </c>
      <c r="L17" s="2" t="inlineStr">
        <is>
          <t>No</t>
        </is>
      </c>
      <c r="M17" s="2" t="inlineStr"/>
      <c r="N17" s="3" t="inlineStr"/>
      <c r="O17" s="3" t="inlineStr">
        <is>
          <t>Current-year balance decreased by $86,852 compared with prior year.</t>
        </is>
      </c>
    </row>
    <row r="18">
      <c r="A18" s="2" t="inlineStr">
        <is>
          <t>6420</t>
        </is>
      </c>
      <c r="B18" s="2" t="n">
        <v>17</v>
      </c>
      <c r="C18" s="2" t="inlineStr">
        <is>
          <t>6420</t>
        </is>
      </c>
      <c r="D18" s="2" t="inlineStr">
        <is>
          <t>Travel - Sales</t>
        </is>
      </c>
      <c r="E18" s="2" t="inlineStr">
        <is>
          <t>Operating Expenses</t>
        </is>
      </c>
      <c r="F18" s="2" t="inlineStr">
        <is>
          <t>Sales</t>
        </is>
      </c>
      <c r="G18" s="4">
        <f>SUMIF(Prior_Year_TB!A:A,A18,Prior_Year_TB!F:F)</f>
        <v/>
      </c>
      <c r="H18" s="4">
        <f>SUMIF(Current_Year_TB!A:A,A18,Current_Year_TB!F:F)</f>
        <v/>
      </c>
      <c r="I18" s="4">
        <f>H18-G18</f>
        <v/>
      </c>
      <c r="J18" s="5">
        <f>IFERROR(I18/ABS(G18),"")</f>
        <v/>
      </c>
      <c r="K18" s="2" t="inlineStr">
        <is>
          <t>Increase</t>
        </is>
      </c>
      <c r="L18" s="2" t="inlineStr">
        <is>
          <t>No</t>
        </is>
      </c>
      <c r="M18" s="2" t="inlineStr"/>
      <c r="N18" s="3" t="inlineStr"/>
      <c r="O18" s="3" t="inlineStr">
        <is>
          <t>Current-year balance increased by $79,000 compared with prior year.</t>
        </is>
      </c>
    </row>
    <row r="19">
      <c r="A19" s="2" t="inlineStr">
        <is>
          <t>7035</t>
        </is>
      </c>
      <c r="B19" s="2" t="n">
        <v>18</v>
      </c>
      <c r="C19" s="2" t="inlineStr">
        <is>
          <t>7035</t>
        </is>
      </c>
      <c r="D19" s="2" t="inlineStr">
        <is>
          <t>Bank Fees - Ops</t>
        </is>
      </c>
      <c r="E19" s="2" t="inlineStr">
        <is>
          <t>Other Expense</t>
        </is>
      </c>
      <c r="F19" s="2" t="inlineStr">
        <is>
          <t>Ops</t>
        </is>
      </c>
      <c r="G19" s="4">
        <f>SUMIF(Prior_Year_TB!A:A,A19,Prior_Year_TB!F:F)</f>
        <v/>
      </c>
      <c r="H19" s="4">
        <f>SUMIF(Current_Year_TB!A:A,A19,Current_Year_TB!F:F)</f>
        <v/>
      </c>
      <c r="I19" s="4">
        <f>H19-G19</f>
        <v/>
      </c>
      <c r="J19" s="5">
        <f>IFERROR(I19/ABS(G19),"")</f>
        <v/>
      </c>
      <c r="K19" s="2" t="inlineStr">
        <is>
          <t>Increase</t>
        </is>
      </c>
      <c r="L19" s="2" t="inlineStr">
        <is>
          <t>No</t>
        </is>
      </c>
      <c r="M19" s="2" t="inlineStr"/>
      <c r="N19" s="3" t="inlineStr"/>
      <c r="O19" s="3" t="inlineStr">
        <is>
          <t>Current-year balance increased by $62,206 compared with prior year.</t>
        </is>
      </c>
    </row>
    <row r="20">
      <c r="A20" s="2" t="inlineStr">
        <is>
          <t>7185</t>
        </is>
      </c>
      <c r="B20" s="2" t="n">
        <v>19</v>
      </c>
      <c r="C20" s="2" t="inlineStr">
        <is>
          <t>7185</t>
        </is>
      </c>
      <c r="D20" s="2" t="inlineStr">
        <is>
          <t>Miscellaneous Expense - Sales</t>
        </is>
      </c>
      <c r="E20" s="2" t="inlineStr">
        <is>
          <t>Other Expense</t>
        </is>
      </c>
      <c r="F20" s="2" t="inlineStr">
        <is>
          <t>Sales</t>
        </is>
      </c>
      <c r="G20" s="4">
        <f>SUMIF(Prior_Year_TB!A:A,A20,Prior_Year_TB!F:F)</f>
        <v/>
      </c>
      <c r="H20" s="4">
        <f>SUMIF(Current_Year_TB!A:A,A20,Current_Year_TB!F:F)</f>
        <v/>
      </c>
      <c r="I20" s="4">
        <f>H20-G20</f>
        <v/>
      </c>
      <c r="J20" s="5">
        <f>IFERROR(I20/ABS(G20),"")</f>
        <v/>
      </c>
      <c r="K20" s="2" t="inlineStr">
        <is>
          <t>Increase</t>
        </is>
      </c>
      <c r="L20" s="2" t="inlineStr">
        <is>
          <t>No</t>
        </is>
      </c>
      <c r="M20" s="2" t="inlineStr"/>
      <c r="N20" s="3" t="inlineStr"/>
      <c r="O20" s="3" t="inlineStr">
        <is>
          <t>Current-year balance increased by $52,720 compared with prior year.</t>
        </is>
      </c>
    </row>
    <row r="21">
      <c r="A21" s="2" t="inlineStr">
        <is>
          <t>3203</t>
        </is>
      </c>
      <c r="B21" s="2" t="n">
        <v>20</v>
      </c>
      <c r="C21" s="2" t="inlineStr">
        <is>
          <t>3203</t>
        </is>
      </c>
      <c r="D21" s="2" t="inlineStr">
        <is>
          <t>Retained Earnings - Ops</t>
        </is>
      </c>
      <c r="E21" s="2" t="inlineStr">
        <is>
          <t>Equity</t>
        </is>
      </c>
      <c r="F21" s="2" t="inlineStr">
        <is>
          <t>Ops</t>
        </is>
      </c>
      <c r="G21" s="4">
        <f>SUMIF(Prior_Year_TB!A:A,A21,Prior_Year_TB!F:F)</f>
        <v/>
      </c>
      <c r="H21" s="4">
        <f>SUMIF(Current_Year_TB!A:A,A21,Current_Year_TB!F:F)</f>
        <v/>
      </c>
      <c r="I21" s="4">
        <f>H21-G21</f>
        <v/>
      </c>
      <c r="J21" s="5">
        <f>IFERROR(I21/ABS(G21),"")</f>
        <v/>
      </c>
      <c r="K21" s="2" t="inlineStr">
        <is>
          <t>Decrease</t>
        </is>
      </c>
      <c r="L21" s="2" t="inlineStr">
        <is>
          <t>No</t>
        </is>
      </c>
      <c r="M21" s="2" t="inlineStr"/>
      <c r="N21" s="3" t="inlineStr"/>
      <c r="O21" s="3" t="inlineStr">
        <is>
          <t>Current-year balance decreased by $45,202 compared with prior year.</t>
        </is>
      </c>
    </row>
    <row r="22">
      <c r="A22" s="2" t="inlineStr">
        <is>
          <t>6435</t>
        </is>
      </c>
      <c r="B22" s="2" t="n">
        <v>21</v>
      </c>
      <c r="C22" s="2" t="inlineStr">
        <is>
          <t>6435</t>
        </is>
      </c>
      <c r="D22" s="2" t="inlineStr">
        <is>
          <t>Professional Fees - IT</t>
        </is>
      </c>
      <c r="E22" s="2" t="inlineStr">
        <is>
          <t>Operating Expenses</t>
        </is>
      </c>
      <c r="F22" s="2" t="inlineStr">
        <is>
          <t>IT</t>
        </is>
      </c>
      <c r="G22" s="4">
        <f>SUMIF(Prior_Year_TB!A:A,A22,Prior_Year_TB!F:F)</f>
        <v/>
      </c>
      <c r="H22" s="4">
        <f>SUMIF(Current_Year_TB!A:A,A22,Current_Year_TB!F:F)</f>
        <v/>
      </c>
      <c r="I22" s="4">
        <f>H22-G22</f>
        <v/>
      </c>
      <c r="J22" s="5">
        <f>IFERROR(I22/ABS(G22),"")</f>
        <v/>
      </c>
      <c r="K22" s="2" t="inlineStr">
        <is>
          <t>Increase</t>
        </is>
      </c>
      <c r="L22" s="2" t="inlineStr">
        <is>
          <t>No</t>
        </is>
      </c>
      <c r="M22" s="2" t="inlineStr"/>
      <c r="N22" s="3" t="inlineStr"/>
      <c r="O22" s="3" t="inlineStr">
        <is>
          <t>Current-year balance increased by $44,120 compared with prior year.</t>
        </is>
      </c>
    </row>
    <row r="23">
      <c r="A23" s="2" t="inlineStr">
        <is>
          <t>2033</t>
        </is>
      </c>
      <c r="B23" s="2" t="n">
        <v>22</v>
      </c>
      <c r="C23" s="2" t="inlineStr">
        <is>
          <t>2033</t>
        </is>
      </c>
      <c r="D23" s="2" t="inlineStr">
        <is>
          <t>Notes Payable - Sales</t>
        </is>
      </c>
      <c r="E23" s="2" t="inlineStr">
        <is>
          <t>Liabilities</t>
        </is>
      </c>
      <c r="F23" s="2" t="inlineStr">
        <is>
          <t>Sales</t>
        </is>
      </c>
      <c r="G23" s="4">
        <f>SUMIF(Prior_Year_TB!A:A,A23,Prior_Year_TB!F:F)</f>
        <v/>
      </c>
      <c r="H23" s="4">
        <f>SUMIF(Current_Year_TB!A:A,A23,Current_Year_TB!F:F)</f>
        <v/>
      </c>
      <c r="I23" s="4">
        <f>H23-G23</f>
        <v/>
      </c>
      <c r="J23" s="5">
        <f>IFERROR(I23/ABS(G23),"")</f>
        <v/>
      </c>
      <c r="K23" s="2" t="inlineStr">
        <is>
          <t>Decrease</t>
        </is>
      </c>
      <c r="L23" s="2" t="inlineStr">
        <is>
          <t>No</t>
        </is>
      </c>
      <c r="M23" s="2" t="inlineStr"/>
      <c r="N23" s="3" t="inlineStr"/>
      <c r="O23" s="3" t="inlineStr">
        <is>
          <t>Current-year balance decreased by $43,004 compared with prior year.</t>
        </is>
      </c>
    </row>
    <row r="24">
      <c r="A24" s="2" t="inlineStr">
        <is>
          <t>5225</t>
        </is>
      </c>
      <c r="B24" s="2" t="n">
        <v>23</v>
      </c>
      <c r="C24" s="2" t="inlineStr">
        <is>
          <t>5225</t>
        </is>
      </c>
      <c r="D24" s="2" t="inlineStr">
        <is>
          <t>Materials - Corporate</t>
        </is>
      </c>
      <c r="E24" s="2" t="inlineStr">
        <is>
          <t>COGS</t>
        </is>
      </c>
      <c r="F24" s="2" t="inlineStr">
        <is>
          <t>Corporate</t>
        </is>
      </c>
      <c r="G24" s="4">
        <f>SUMIF(Prior_Year_TB!A:A,A24,Prior_Year_TB!F:F)</f>
        <v/>
      </c>
      <c r="H24" s="4">
        <f>SUMIF(Current_Year_TB!A:A,A24,Current_Year_TB!F:F)</f>
        <v/>
      </c>
      <c r="I24" s="4">
        <f>H24-G24</f>
        <v/>
      </c>
      <c r="J24" s="5">
        <f>IFERROR(I24/ABS(G24),"")</f>
        <v/>
      </c>
      <c r="K24" s="2" t="inlineStr">
        <is>
          <t>Increase</t>
        </is>
      </c>
      <c r="L24" s="2" t="inlineStr">
        <is>
          <t>No</t>
        </is>
      </c>
      <c r="M24" s="2" t="inlineStr"/>
      <c r="N24" s="3" t="inlineStr"/>
      <c r="O24" s="3" t="inlineStr">
        <is>
          <t>Current-year balance increased by $42,795 compared with prior year.</t>
        </is>
      </c>
    </row>
    <row r="25">
      <c r="A25" s="2" t="inlineStr">
        <is>
          <t>6231</t>
        </is>
      </c>
      <c r="B25" s="2" t="n">
        <v>24</v>
      </c>
      <c r="C25" s="2" t="inlineStr">
        <is>
          <t>6231</t>
        </is>
      </c>
      <c r="D25" s="2" t="inlineStr">
        <is>
          <t>Rent - Sales</t>
        </is>
      </c>
      <c r="E25" s="2" t="inlineStr">
        <is>
          <t>Operating Expenses</t>
        </is>
      </c>
      <c r="F25" s="2" t="inlineStr">
        <is>
          <t>Sales</t>
        </is>
      </c>
      <c r="G25" s="4">
        <f>SUMIF(Prior_Year_TB!A:A,A25,Prior_Year_TB!F:F)</f>
        <v/>
      </c>
      <c r="H25" s="4">
        <f>SUMIF(Current_Year_TB!A:A,A25,Current_Year_TB!F:F)</f>
        <v/>
      </c>
      <c r="I25" s="4">
        <f>H25-G25</f>
        <v/>
      </c>
      <c r="J25" s="5">
        <f>IFERROR(I25/ABS(G25),"")</f>
        <v/>
      </c>
      <c r="K25" s="2" t="inlineStr">
        <is>
          <t>Increase</t>
        </is>
      </c>
      <c r="L25" s="2" t="inlineStr">
        <is>
          <t>No</t>
        </is>
      </c>
      <c r="M25" s="2" t="inlineStr"/>
      <c r="N25" s="3" t="inlineStr"/>
      <c r="O25" s="3" t="inlineStr">
        <is>
          <t>Current-year balance increased by $42,199 compared with prior year.</t>
        </is>
      </c>
    </row>
    <row r="26">
      <c r="A26" s="2" t="inlineStr">
        <is>
          <t>1031</t>
        </is>
      </c>
      <c r="B26" s="2" t="n">
        <v>25</v>
      </c>
      <c r="C26" s="2" t="inlineStr">
        <is>
          <t>1031</t>
        </is>
      </c>
      <c r="D26" s="2" t="inlineStr">
        <is>
          <t>Inventory - Ops</t>
        </is>
      </c>
      <c r="E26" s="2" t="inlineStr">
        <is>
          <t>Assets</t>
        </is>
      </c>
      <c r="F26" s="2" t="inlineStr">
        <is>
          <t>Ops</t>
        </is>
      </c>
      <c r="G26" s="4">
        <f>SUMIF(Prior_Year_TB!A:A,A26,Prior_Year_TB!F:F)</f>
        <v/>
      </c>
      <c r="H26" s="4">
        <f>SUMIF(Current_Year_TB!A:A,A26,Current_Year_TB!F:F)</f>
        <v/>
      </c>
      <c r="I26" s="4">
        <f>H26-G26</f>
        <v/>
      </c>
      <c r="J26" s="5">
        <f>IFERROR(I26/ABS(G26),"")</f>
        <v/>
      </c>
      <c r="K26" s="2" t="inlineStr">
        <is>
          <t>Increase</t>
        </is>
      </c>
      <c r="L26" s="2" t="inlineStr">
        <is>
          <t>No</t>
        </is>
      </c>
      <c r="M26" s="2" t="inlineStr"/>
      <c r="N26" s="3" t="inlineStr"/>
      <c r="O26" s="3" t="inlineStr">
        <is>
          <t>Current-year balance increased by $41,554 compared with prior year.</t>
        </is>
      </c>
    </row>
    <row r="27">
      <c r="A27" s="2" t="inlineStr">
        <is>
          <t>4412</t>
        </is>
      </c>
      <c r="B27" s="2" t="n">
        <v>26</v>
      </c>
      <c r="C27" s="2" t="inlineStr">
        <is>
          <t>4412</t>
        </is>
      </c>
      <c r="D27" s="2" t="inlineStr">
        <is>
          <t>Discounts - IT</t>
        </is>
      </c>
      <c r="E27" s="2" t="inlineStr">
        <is>
          <t>Revenue</t>
        </is>
      </c>
      <c r="F27" s="2" t="inlineStr">
        <is>
          <t>IT</t>
        </is>
      </c>
      <c r="G27" s="4">
        <f>SUMIF(Prior_Year_TB!A:A,A27,Prior_Year_TB!F:F)</f>
        <v/>
      </c>
      <c r="H27" s="4">
        <f>SUMIF(Current_Year_TB!A:A,A27,Current_Year_TB!F:F)</f>
        <v/>
      </c>
      <c r="I27" s="4">
        <f>H27-G27</f>
        <v/>
      </c>
      <c r="J27" s="5">
        <f>IFERROR(I27/ABS(G27),"")</f>
        <v/>
      </c>
      <c r="K27" s="2" t="inlineStr">
        <is>
          <t>Decrease</t>
        </is>
      </c>
      <c r="L27" s="2" t="inlineStr">
        <is>
          <t>No</t>
        </is>
      </c>
      <c r="M27" s="2" t="inlineStr"/>
      <c r="N27" s="3" t="inlineStr"/>
      <c r="O27" s="3" t="inlineStr">
        <is>
          <t>Current-year balance decreased by $40,014 compared with prior year.</t>
        </is>
      </c>
    </row>
    <row r="28">
      <c r="A28" s="2" t="inlineStr">
        <is>
          <t>5102</t>
        </is>
      </c>
      <c r="B28" s="2" t="n">
        <v>27</v>
      </c>
      <c r="C28" s="2" t="inlineStr">
        <is>
          <t>5102</t>
        </is>
      </c>
      <c r="D28" s="2" t="inlineStr">
        <is>
          <t>Inventory Adjustments - IT</t>
        </is>
      </c>
      <c r="E28" s="2" t="inlineStr">
        <is>
          <t>COGS</t>
        </is>
      </c>
      <c r="F28" s="2" t="inlineStr">
        <is>
          <t>IT</t>
        </is>
      </c>
      <c r="G28" s="4">
        <f>SUMIF(Prior_Year_TB!A:A,A28,Prior_Year_TB!F:F)</f>
        <v/>
      </c>
      <c r="H28" s="4">
        <f>SUMIF(Current_Year_TB!A:A,A28,Current_Year_TB!F:F)</f>
        <v/>
      </c>
      <c r="I28" s="4">
        <f>H28-G28</f>
        <v/>
      </c>
      <c r="J28" s="5">
        <f>IFERROR(I28/ABS(G28),"")</f>
        <v/>
      </c>
      <c r="K28" s="2" t="inlineStr">
        <is>
          <t>Increase</t>
        </is>
      </c>
      <c r="L28" s="2" t="inlineStr">
        <is>
          <t>No</t>
        </is>
      </c>
      <c r="M28" s="2" t="inlineStr"/>
      <c r="N28" s="3" t="inlineStr"/>
      <c r="O28" s="3" t="inlineStr">
        <is>
          <t>Current-year balance increased by $35,956 compared with prior year.</t>
        </is>
      </c>
    </row>
    <row r="29">
      <c r="A29" s="2" t="inlineStr">
        <is>
          <t>5151</t>
        </is>
      </c>
      <c r="B29" s="2" t="n">
        <v>28</v>
      </c>
      <c r="C29" s="2" t="inlineStr">
        <is>
          <t>5151</t>
        </is>
      </c>
      <c r="D29" s="2" t="inlineStr">
        <is>
          <t>Labor - Warehouse</t>
        </is>
      </c>
      <c r="E29" s="2" t="inlineStr">
        <is>
          <t>COGS</t>
        </is>
      </c>
      <c r="F29" s="2" t="inlineStr">
        <is>
          <t>Warehouse</t>
        </is>
      </c>
      <c r="G29" s="4">
        <f>SUMIF(Prior_Year_TB!A:A,A29,Prior_Year_TB!F:F)</f>
        <v/>
      </c>
      <c r="H29" s="4">
        <f>SUMIF(Current_Year_TB!A:A,A29,Current_Year_TB!F:F)</f>
        <v/>
      </c>
      <c r="I29" s="4">
        <f>H29-G29</f>
        <v/>
      </c>
      <c r="J29" s="5">
        <f>IFERROR(I29/ABS(G29),"")</f>
        <v/>
      </c>
      <c r="K29" s="2" t="inlineStr">
        <is>
          <t>Increase</t>
        </is>
      </c>
      <c r="L29" s="2" t="inlineStr">
        <is>
          <t>No</t>
        </is>
      </c>
      <c r="M29" s="2" t="inlineStr"/>
      <c r="N29" s="3" t="inlineStr"/>
      <c r="O29" s="3" t="inlineStr">
        <is>
          <t>Current-year balance increased by $35,172 compared with prior year.</t>
        </is>
      </c>
    </row>
    <row r="30">
      <c r="A30" s="2" t="inlineStr">
        <is>
          <t>2054</t>
        </is>
      </c>
      <c r="B30" s="2" t="n">
        <v>29</v>
      </c>
      <c r="C30" s="2" t="inlineStr">
        <is>
          <t>2054</t>
        </is>
      </c>
      <c r="D30" s="2" t="inlineStr">
        <is>
          <t>Payroll Liabilities - IT</t>
        </is>
      </c>
      <c r="E30" s="2" t="inlineStr">
        <is>
          <t>Liabilities</t>
        </is>
      </c>
      <c r="F30" s="2" t="inlineStr">
        <is>
          <t>IT</t>
        </is>
      </c>
      <c r="G30" s="4">
        <f>SUMIF(Prior_Year_TB!A:A,A30,Prior_Year_TB!F:F)</f>
        <v/>
      </c>
      <c r="H30" s="4">
        <f>SUMIF(Current_Year_TB!A:A,A30,Current_Year_TB!F:F)</f>
        <v/>
      </c>
      <c r="I30" s="4">
        <f>H30-G30</f>
        <v/>
      </c>
      <c r="J30" s="5">
        <f>IFERROR(I30/ABS(G30),"")</f>
        <v/>
      </c>
      <c r="K30" s="2" t="inlineStr">
        <is>
          <t>Increase</t>
        </is>
      </c>
      <c r="L30" s="2" t="inlineStr">
        <is>
          <t>No</t>
        </is>
      </c>
      <c r="M30" s="2" t="inlineStr"/>
      <c r="N30" s="3" t="inlineStr"/>
      <c r="O30" s="3" t="inlineStr">
        <is>
          <t>Current-year balance increased by $33,359 compared with prior year.</t>
        </is>
      </c>
    </row>
    <row r="31">
      <c r="A31" s="2" t="inlineStr">
        <is>
          <t>3061</t>
        </is>
      </c>
      <c r="B31" s="2" t="n">
        <v>30</v>
      </c>
      <c r="C31" s="2" t="inlineStr">
        <is>
          <t>3061</t>
        </is>
      </c>
      <c r="D31" s="2" t="inlineStr">
        <is>
          <t>Current Year Earnings - Ops</t>
        </is>
      </c>
      <c r="E31" s="2" t="inlineStr">
        <is>
          <t>Equity</t>
        </is>
      </c>
      <c r="F31" s="2" t="inlineStr">
        <is>
          <t>Ops</t>
        </is>
      </c>
      <c r="G31" s="4">
        <f>SUMIF(Prior_Year_TB!A:A,A31,Prior_Year_TB!F:F)</f>
        <v/>
      </c>
      <c r="H31" s="4">
        <f>SUMIF(Current_Year_TB!A:A,A31,Current_Year_TB!F:F)</f>
        <v/>
      </c>
      <c r="I31" s="4">
        <f>H31-G31</f>
        <v/>
      </c>
      <c r="J31" s="5">
        <f>IFERROR(I31/ABS(G31),"")</f>
        <v/>
      </c>
      <c r="K31" s="2" t="inlineStr">
        <is>
          <t>Increase</t>
        </is>
      </c>
      <c r="L31" s="2" t="inlineStr">
        <is>
          <t>No</t>
        </is>
      </c>
      <c r="M31" s="2" t="inlineStr"/>
      <c r="N31" s="3" t="inlineStr"/>
      <c r="O31" s="3" t="inlineStr">
        <is>
          <t>Current-year balance increased by $31,015 compared with prior year.</t>
        </is>
      </c>
    </row>
    <row r="32">
      <c r="A32" s="2" t="inlineStr">
        <is>
          <t>5370</t>
        </is>
      </c>
      <c r="B32" s="2" t="n">
        <v>31</v>
      </c>
      <c r="C32" s="2" t="inlineStr">
        <is>
          <t>5370</t>
        </is>
      </c>
      <c r="D32" s="2" t="inlineStr">
        <is>
          <t>Materials - IT</t>
        </is>
      </c>
      <c r="E32" s="2" t="inlineStr">
        <is>
          <t>COGS</t>
        </is>
      </c>
      <c r="F32" s="2" t="inlineStr">
        <is>
          <t>IT</t>
        </is>
      </c>
      <c r="G32" s="4">
        <f>SUMIF(Prior_Year_TB!A:A,A32,Prior_Year_TB!F:F)</f>
        <v/>
      </c>
      <c r="H32" s="4">
        <f>SUMIF(Current_Year_TB!A:A,A32,Current_Year_TB!F:F)</f>
        <v/>
      </c>
      <c r="I32" s="4">
        <f>H32-G32</f>
        <v/>
      </c>
      <c r="J32" s="5">
        <f>IFERROR(I32/ABS(G32),"")</f>
        <v/>
      </c>
      <c r="K32" s="2" t="inlineStr">
        <is>
          <t>Increase</t>
        </is>
      </c>
      <c r="L32" s="2" t="inlineStr">
        <is>
          <t>No</t>
        </is>
      </c>
      <c r="M32" s="2" t="inlineStr"/>
      <c r="N32" s="3" t="inlineStr"/>
      <c r="O32" s="3" t="inlineStr">
        <is>
          <t>Current-year balance increased by $25,863 compared with prior year.</t>
        </is>
      </c>
    </row>
    <row r="33">
      <c r="A33" s="2" t="inlineStr">
        <is>
          <t>4054</t>
        </is>
      </c>
      <c r="B33" s="2" t="n">
        <v>32</v>
      </c>
      <c r="C33" s="2" t="inlineStr">
        <is>
          <t>4054</t>
        </is>
      </c>
      <c r="D33" s="2" t="inlineStr">
        <is>
          <t>Returns and Allowances - IT</t>
        </is>
      </c>
      <c r="E33" s="2" t="inlineStr">
        <is>
          <t>Revenue</t>
        </is>
      </c>
      <c r="F33" s="2" t="inlineStr">
        <is>
          <t>IT</t>
        </is>
      </c>
      <c r="G33" s="4">
        <f>SUMIF(Prior_Year_TB!A:A,A33,Prior_Year_TB!F:F)</f>
        <v/>
      </c>
      <c r="H33" s="4">
        <f>SUMIF(Current_Year_TB!A:A,A33,Current_Year_TB!F:F)</f>
        <v/>
      </c>
      <c r="I33" s="4">
        <f>H33-G33</f>
        <v/>
      </c>
      <c r="J33" s="5">
        <f>IFERROR(I33/ABS(G33),"")</f>
        <v/>
      </c>
      <c r="K33" s="2" t="inlineStr">
        <is>
          <t>Decrease</t>
        </is>
      </c>
      <c r="L33" s="2" t="inlineStr">
        <is>
          <t>No</t>
        </is>
      </c>
      <c r="M33" s="2" t="inlineStr"/>
      <c r="N33" s="3" t="inlineStr"/>
      <c r="O33" s="3" t="inlineStr">
        <is>
          <t>Current-year balance decreased by $25,606 compared with prior year.</t>
        </is>
      </c>
    </row>
    <row r="34">
      <c r="A34" s="2" t="inlineStr">
        <is>
          <t>2235</t>
        </is>
      </c>
      <c r="B34" s="2" t="n">
        <v>33</v>
      </c>
      <c r="C34" s="2" t="inlineStr">
        <is>
          <t>2235</t>
        </is>
      </c>
      <c r="D34" s="2" t="inlineStr">
        <is>
          <t>Payroll Liabilities - Warehouse</t>
        </is>
      </c>
      <c r="E34" s="2" t="inlineStr">
        <is>
          <t>Liabilities</t>
        </is>
      </c>
      <c r="F34" s="2" t="inlineStr">
        <is>
          <t>Warehouse</t>
        </is>
      </c>
      <c r="G34" s="4">
        <f>SUMIF(Prior_Year_TB!A:A,A34,Prior_Year_TB!F:F)</f>
        <v/>
      </c>
      <c r="H34" s="4">
        <f>SUMIF(Current_Year_TB!A:A,A34,Current_Year_TB!F:F)</f>
        <v/>
      </c>
      <c r="I34" s="4">
        <f>H34-G34</f>
        <v/>
      </c>
      <c r="J34" s="5">
        <f>IFERROR(I34/ABS(G34),"")</f>
        <v/>
      </c>
      <c r="K34" s="2" t="inlineStr">
        <is>
          <t>Decrease</t>
        </is>
      </c>
      <c r="L34" s="2" t="inlineStr">
        <is>
          <t>No</t>
        </is>
      </c>
      <c r="M34" s="2" t="inlineStr"/>
      <c r="N34" s="3" t="inlineStr"/>
      <c r="O34" s="3" t="inlineStr">
        <is>
          <t>Current-year balance decreased by $25,438 compared with prior year.</t>
        </is>
      </c>
    </row>
    <row r="35">
      <c r="A35" s="2" t="inlineStr">
        <is>
          <t>2100</t>
        </is>
      </c>
      <c r="B35" s="2" t="n">
        <v>34</v>
      </c>
      <c r="C35" s="2" t="inlineStr">
        <is>
          <t>2100</t>
        </is>
      </c>
      <c r="D35" s="2" t="inlineStr">
        <is>
          <t>Accrued Expense - Sales</t>
        </is>
      </c>
      <c r="E35" s="2" t="inlineStr">
        <is>
          <t>Liabilities</t>
        </is>
      </c>
      <c r="F35" s="2" t="inlineStr">
        <is>
          <t>Sales</t>
        </is>
      </c>
      <c r="G35" s="4">
        <f>SUMIF(Prior_Year_TB!A:A,A35,Prior_Year_TB!F:F)</f>
        <v/>
      </c>
      <c r="H35" s="4">
        <f>SUMIF(Current_Year_TB!A:A,A35,Current_Year_TB!F:F)</f>
        <v/>
      </c>
      <c r="I35" s="4">
        <f>H35-G35</f>
        <v/>
      </c>
      <c r="J35" s="5">
        <f>IFERROR(I35/ABS(G35),"")</f>
        <v/>
      </c>
      <c r="K35" s="2" t="inlineStr">
        <is>
          <t>Decrease</t>
        </is>
      </c>
      <c r="L35" s="2" t="inlineStr">
        <is>
          <t>No</t>
        </is>
      </c>
      <c r="M35" s="2" t="inlineStr"/>
      <c r="N35" s="3" t="inlineStr"/>
      <c r="O35" s="3" t="inlineStr">
        <is>
          <t>Current-year balance decreased by $24,651 compared with prior year.</t>
        </is>
      </c>
    </row>
    <row r="36">
      <c r="A36" s="2" t="inlineStr">
        <is>
          <t>4401</t>
        </is>
      </c>
      <c r="B36" s="2" t="n">
        <v>35</v>
      </c>
      <c r="C36" s="2" t="inlineStr">
        <is>
          <t>4401</t>
        </is>
      </c>
      <c r="D36" s="2" t="inlineStr">
        <is>
          <t>Other Income - Corporate</t>
        </is>
      </c>
      <c r="E36" s="2" t="inlineStr">
        <is>
          <t>Revenue</t>
        </is>
      </c>
      <c r="F36" s="2" t="inlineStr">
        <is>
          <t>Corporate</t>
        </is>
      </c>
      <c r="G36" s="4">
        <f>SUMIF(Prior_Year_TB!A:A,A36,Prior_Year_TB!F:F)</f>
        <v/>
      </c>
      <c r="H36" s="4">
        <f>SUMIF(Current_Year_TB!A:A,A36,Current_Year_TB!F:F)</f>
        <v/>
      </c>
      <c r="I36" s="4">
        <f>H36-G36</f>
        <v/>
      </c>
      <c r="J36" s="5">
        <f>IFERROR(I36/ABS(G36),"")</f>
        <v/>
      </c>
      <c r="K36" s="2" t="inlineStr">
        <is>
          <t>Increase</t>
        </is>
      </c>
      <c r="L36" s="2" t="inlineStr">
        <is>
          <t>No</t>
        </is>
      </c>
      <c r="M36" s="2" t="inlineStr"/>
      <c r="N36" s="3" t="inlineStr"/>
      <c r="O36" s="3" t="inlineStr">
        <is>
          <t>Current-year balance increased by $24,091 compared with prior year.</t>
        </is>
      </c>
    </row>
    <row r="37">
      <c r="A37" s="2" t="inlineStr">
        <is>
          <t>4130</t>
        </is>
      </c>
      <c r="B37" s="2" t="n">
        <v>36</v>
      </c>
      <c r="C37" s="2" t="inlineStr">
        <is>
          <t>4130</t>
        </is>
      </c>
      <c r="D37" s="2" t="inlineStr">
        <is>
          <t>Other Income - Sales</t>
        </is>
      </c>
      <c r="E37" s="2" t="inlineStr">
        <is>
          <t>Revenue</t>
        </is>
      </c>
      <c r="F37" s="2" t="inlineStr">
        <is>
          <t>Sales</t>
        </is>
      </c>
      <c r="G37" s="4">
        <f>SUMIF(Prior_Year_TB!A:A,A37,Prior_Year_TB!F:F)</f>
        <v/>
      </c>
      <c r="H37" s="4">
        <f>SUMIF(Current_Year_TB!A:A,A37,Current_Year_TB!F:F)</f>
        <v/>
      </c>
      <c r="I37" s="4">
        <f>H37-G37</f>
        <v/>
      </c>
      <c r="J37" s="5">
        <f>IFERROR(I37/ABS(G37),"")</f>
        <v/>
      </c>
      <c r="K37" s="2" t="inlineStr">
        <is>
          <t>Decrease</t>
        </is>
      </c>
      <c r="L37" s="2" t="inlineStr">
        <is>
          <t>No</t>
        </is>
      </c>
      <c r="M37" s="2" t="inlineStr"/>
      <c r="N37" s="3" t="inlineStr"/>
      <c r="O37" s="3" t="inlineStr">
        <is>
          <t>Current-year balance decreased by $22,527 compared with prior year.</t>
        </is>
      </c>
    </row>
    <row r="38">
      <c r="A38" s="2" t="inlineStr">
        <is>
          <t>4225</t>
        </is>
      </c>
      <c r="B38" s="2" t="n">
        <v>37</v>
      </c>
      <c r="C38" s="2" t="inlineStr">
        <is>
          <t>4225</t>
        </is>
      </c>
      <c r="D38" s="2" t="inlineStr">
        <is>
          <t>Product Revenue - Ops</t>
        </is>
      </c>
      <c r="E38" s="2" t="inlineStr">
        <is>
          <t>Revenue</t>
        </is>
      </c>
      <c r="F38" s="2" t="inlineStr">
        <is>
          <t>Ops</t>
        </is>
      </c>
      <c r="G38" s="4">
        <f>SUMIF(Prior_Year_TB!A:A,A38,Prior_Year_TB!F:F)</f>
        <v/>
      </c>
      <c r="H38" s="4">
        <f>SUMIF(Current_Year_TB!A:A,A38,Current_Year_TB!F:F)</f>
        <v/>
      </c>
      <c r="I38" s="4">
        <f>H38-G38</f>
        <v/>
      </c>
      <c r="J38" s="5">
        <f>IFERROR(I38/ABS(G38),"")</f>
        <v/>
      </c>
      <c r="K38" s="2" t="inlineStr">
        <is>
          <t>Decrease</t>
        </is>
      </c>
      <c r="L38" s="2" t="inlineStr">
        <is>
          <t>No</t>
        </is>
      </c>
      <c r="M38" s="2" t="inlineStr"/>
      <c r="N38" s="3" t="inlineStr"/>
      <c r="O38" s="3" t="inlineStr">
        <is>
          <t>Current-year balance decreased by $21,554 compared with prior year.</t>
        </is>
      </c>
    </row>
    <row r="39">
      <c r="A39" s="2" t="inlineStr">
        <is>
          <t>2190</t>
        </is>
      </c>
      <c r="B39" s="2" t="n">
        <v>38</v>
      </c>
      <c r="C39" s="2" t="inlineStr">
        <is>
          <t>2190</t>
        </is>
      </c>
      <c r="D39" s="2" t="inlineStr">
        <is>
          <t>Accounts Payable - IT</t>
        </is>
      </c>
      <c r="E39" s="2" t="inlineStr">
        <is>
          <t>Liabilities</t>
        </is>
      </c>
      <c r="F39" s="2" t="inlineStr">
        <is>
          <t>IT</t>
        </is>
      </c>
      <c r="G39" s="4">
        <f>SUMIF(Prior_Year_TB!A:A,A39,Prior_Year_TB!F:F)</f>
        <v/>
      </c>
      <c r="H39" s="4">
        <f>SUMIF(Current_Year_TB!A:A,A39,Current_Year_TB!F:F)</f>
        <v/>
      </c>
      <c r="I39" s="4">
        <f>H39-G39</f>
        <v/>
      </c>
      <c r="J39" s="5">
        <f>IFERROR(I39/ABS(G39),"")</f>
        <v/>
      </c>
      <c r="K39" s="2" t="inlineStr">
        <is>
          <t>Decrease</t>
        </is>
      </c>
      <c r="L39" s="2" t="inlineStr">
        <is>
          <t>No</t>
        </is>
      </c>
      <c r="M39" s="2" t="inlineStr"/>
      <c r="N39" s="3" t="inlineStr"/>
      <c r="O39" s="3" t="inlineStr">
        <is>
          <t>Current-year balance decreased by $20,920 compared with prior year.</t>
        </is>
      </c>
    </row>
    <row r="40">
      <c r="A40" s="2" t="inlineStr">
        <is>
          <t>5394</t>
        </is>
      </c>
      <c r="B40" s="2" t="n">
        <v>39</v>
      </c>
      <c r="C40" s="2" t="inlineStr">
        <is>
          <t>5394</t>
        </is>
      </c>
      <c r="D40" s="2" t="inlineStr">
        <is>
          <t>Labor - Admin</t>
        </is>
      </c>
      <c r="E40" s="2" t="inlineStr">
        <is>
          <t>COGS</t>
        </is>
      </c>
      <c r="F40" s="2" t="inlineStr">
        <is>
          <t>Admin</t>
        </is>
      </c>
      <c r="G40" s="4">
        <f>SUMIF(Prior_Year_TB!A:A,A40,Prior_Year_TB!F:F)</f>
        <v/>
      </c>
      <c r="H40" s="4">
        <f>SUMIF(Current_Year_TB!A:A,A40,Current_Year_TB!F:F)</f>
        <v/>
      </c>
      <c r="I40" s="4">
        <f>H40-G40</f>
        <v/>
      </c>
      <c r="J40" s="5">
        <f>IFERROR(I40/ABS(G40),"")</f>
        <v/>
      </c>
      <c r="K40" s="2" t="inlineStr">
        <is>
          <t>Decrease</t>
        </is>
      </c>
      <c r="L40" s="2" t="inlineStr">
        <is>
          <t>No</t>
        </is>
      </c>
      <c r="M40" s="2" t="inlineStr"/>
      <c r="N40" s="3" t="inlineStr"/>
      <c r="O40" s="3" t="inlineStr">
        <is>
          <t>Current-year balance decreased by $20,234 compared with prior year.</t>
        </is>
      </c>
    </row>
    <row r="41">
      <c r="A41" s="2" t="inlineStr">
        <is>
          <t>4384</t>
        </is>
      </c>
      <c r="B41" s="2" t="n">
        <v>40</v>
      </c>
      <c r="C41" s="2" t="inlineStr">
        <is>
          <t>4384</t>
        </is>
      </c>
      <c r="D41" s="2" t="inlineStr">
        <is>
          <t>Other Income - Admin</t>
        </is>
      </c>
      <c r="E41" s="2" t="inlineStr">
        <is>
          <t>Revenue</t>
        </is>
      </c>
      <c r="F41" s="2" t="inlineStr">
        <is>
          <t>Admin</t>
        </is>
      </c>
      <c r="G41" s="4">
        <f>SUMIF(Prior_Year_TB!A:A,A41,Prior_Year_TB!F:F)</f>
        <v/>
      </c>
      <c r="H41" s="4">
        <f>SUMIF(Current_Year_TB!A:A,A41,Current_Year_TB!F:F)</f>
        <v/>
      </c>
      <c r="I41" s="4">
        <f>H41-G41</f>
        <v/>
      </c>
      <c r="J41" s="5">
        <f>IFERROR(I41/ABS(G41),"")</f>
        <v/>
      </c>
      <c r="K41" s="2" t="inlineStr">
        <is>
          <t>Increase</t>
        </is>
      </c>
      <c r="L41" s="2" t="inlineStr">
        <is>
          <t>No</t>
        </is>
      </c>
      <c r="M41" s="2" t="inlineStr"/>
      <c r="N41" s="3" t="inlineStr"/>
      <c r="O41" s="3" t="inlineStr">
        <is>
          <t>Current-year balance increased by $19,837 compared with prior year.</t>
        </is>
      </c>
    </row>
    <row r="42">
      <c r="A42" s="2" t="inlineStr">
        <is>
          <t>4003</t>
        </is>
      </c>
      <c r="B42" s="2" t="n">
        <v>41</v>
      </c>
      <c r="C42" s="2" t="inlineStr">
        <is>
          <t>4003</t>
        </is>
      </c>
      <c r="D42" s="2" t="inlineStr">
        <is>
          <t>Discounts - Corporate</t>
        </is>
      </c>
      <c r="E42" s="2" t="inlineStr">
        <is>
          <t>Revenue</t>
        </is>
      </c>
      <c r="F42" s="2" t="inlineStr">
        <is>
          <t>Corporate</t>
        </is>
      </c>
      <c r="G42" s="4">
        <f>SUMIF(Prior_Year_TB!A:A,A42,Prior_Year_TB!F:F)</f>
        <v/>
      </c>
      <c r="H42" s="4">
        <f>SUMIF(Current_Year_TB!A:A,A42,Current_Year_TB!F:F)</f>
        <v/>
      </c>
      <c r="I42" s="4">
        <f>H42-G42</f>
        <v/>
      </c>
      <c r="J42" s="5">
        <f>IFERROR(I42/ABS(G42),"")</f>
        <v/>
      </c>
      <c r="K42" s="2" t="inlineStr">
        <is>
          <t>Increase</t>
        </is>
      </c>
      <c r="L42" s="2" t="inlineStr">
        <is>
          <t>No</t>
        </is>
      </c>
      <c r="M42" s="2" t="inlineStr"/>
      <c r="N42" s="3" t="inlineStr"/>
      <c r="O42" s="3" t="inlineStr">
        <is>
          <t>Current-year balance increased by $19,785 compared with prior year.</t>
        </is>
      </c>
    </row>
    <row r="43">
      <c r="A43" s="2" t="inlineStr">
        <is>
          <t>4273</t>
        </is>
      </c>
      <c r="B43" s="2" t="n">
        <v>42</v>
      </c>
      <c r="C43" s="2" t="inlineStr">
        <is>
          <t>4273</t>
        </is>
      </c>
      <c r="D43" s="2" t="inlineStr">
        <is>
          <t>Returns and Allowances - Corporate</t>
        </is>
      </c>
      <c r="E43" s="2" t="inlineStr">
        <is>
          <t>Revenue</t>
        </is>
      </c>
      <c r="F43" s="2" t="inlineStr">
        <is>
          <t>Corporate</t>
        </is>
      </c>
      <c r="G43" s="4">
        <f>SUMIF(Prior_Year_TB!A:A,A43,Prior_Year_TB!F:F)</f>
        <v/>
      </c>
      <c r="H43" s="4">
        <f>SUMIF(Current_Year_TB!A:A,A43,Current_Year_TB!F:F)</f>
        <v/>
      </c>
      <c r="I43" s="4">
        <f>H43-G43</f>
        <v/>
      </c>
      <c r="J43" s="5">
        <f>IFERROR(I43/ABS(G43),"")</f>
        <v/>
      </c>
      <c r="K43" s="2" t="inlineStr">
        <is>
          <t>Decrease</t>
        </is>
      </c>
      <c r="L43" s="2" t="inlineStr">
        <is>
          <t>No</t>
        </is>
      </c>
      <c r="M43" s="2" t="inlineStr"/>
      <c r="N43" s="3" t="inlineStr"/>
      <c r="O43" s="3" t="inlineStr">
        <is>
          <t>Current-year balance decreased by $18,446 compared with prior year.</t>
        </is>
      </c>
    </row>
    <row r="44">
      <c r="A44" s="2" t="inlineStr">
        <is>
          <t>2181</t>
        </is>
      </c>
      <c r="B44" s="2" t="n">
        <v>43</v>
      </c>
      <c r="C44" s="2" t="inlineStr">
        <is>
          <t>2181</t>
        </is>
      </c>
      <c r="D44" s="2" t="inlineStr">
        <is>
          <t>Notes Payable - Admin</t>
        </is>
      </c>
      <c r="E44" s="2" t="inlineStr">
        <is>
          <t>Liabilities</t>
        </is>
      </c>
      <c r="F44" s="2" t="inlineStr">
        <is>
          <t>Admin</t>
        </is>
      </c>
      <c r="G44" s="4">
        <f>SUMIF(Prior_Year_TB!A:A,A44,Prior_Year_TB!F:F)</f>
        <v/>
      </c>
      <c r="H44" s="4">
        <f>SUMIF(Current_Year_TB!A:A,A44,Current_Year_TB!F:F)</f>
        <v/>
      </c>
      <c r="I44" s="4">
        <f>H44-G44</f>
        <v/>
      </c>
      <c r="J44" s="5">
        <f>IFERROR(I44/ABS(G44),"")</f>
        <v/>
      </c>
      <c r="K44" s="2" t="inlineStr">
        <is>
          <t>Increase</t>
        </is>
      </c>
      <c r="L44" s="2" t="inlineStr">
        <is>
          <t>No</t>
        </is>
      </c>
      <c r="M44" s="2" t="inlineStr"/>
      <c r="N44" s="3" t="inlineStr"/>
      <c r="O44" s="3" t="inlineStr">
        <is>
          <t>Current-year balance increased by $17,249 compared with prior year.</t>
        </is>
      </c>
    </row>
    <row r="45">
      <c r="A45" s="2" t="inlineStr">
        <is>
          <t>5232</t>
        </is>
      </c>
      <c r="B45" s="2" t="n">
        <v>44</v>
      </c>
      <c r="C45" s="2" t="inlineStr">
        <is>
          <t>5232</t>
        </is>
      </c>
      <c r="D45" s="2" t="inlineStr">
        <is>
          <t>Labor - IT</t>
        </is>
      </c>
      <c r="E45" s="2" t="inlineStr">
        <is>
          <t>COGS</t>
        </is>
      </c>
      <c r="F45" s="2" t="inlineStr">
        <is>
          <t>IT</t>
        </is>
      </c>
      <c r="G45" s="4">
        <f>SUMIF(Prior_Year_TB!A:A,A45,Prior_Year_TB!F:F)</f>
        <v/>
      </c>
      <c r="H45" s="4">
        <f>SUMIF(Current_Year_TB!A:A,A45,Current_Year_TB!F:F)</f>
        <v/>
      </c>
      <c r="I45" s="4">
        <f>H45-G45</f>
        <v/>
      </c>
      <c r="J45" s="5">
        <f>IFERROR(I45/ABS(G45),"")</f>
        <v/>
      </c>
      <c r="K45" s="2" t="inlineStr">
        <is>
          <t>Increase</t>
        </is>
      </c>
      <c r="L45" s="2" t="inlineStr">
        <is>
          <t>No</t>
        </is>
      </c>
      <c r="M45" s="2" t="inlineStr"/>
      <c r="N45" s="3" t="inlineStr"/>
      <c r="O45" s="3" t="inlineStr">
        <is>
          <t>Current-year balance increased by $16,927 compared with prior year.</t>
        </is>
      </c>
    </row>
    <row r="46">
      <c r="A46" s="2" t="inlineStr">
        <is>
          <t>1174</t>
        </is>
      </c>
      <c r="B46" s="2" t="n">
        <v>45</v>
      </c>
      <c r="C46" s="2" t="inlineStr">
        <is>
          <t>1174</t>
        </is>
      </c>
      <c r="D46" s="2" t="inlineStr">
        <is>
          <t>Accounts Receivable - Warehouse</t>
        </is>
      </c>
      <c r="E46" s="2" t="inlineStr">
        <is>
          <t>Assets</t>
        </is>
      </c>
      <c r="F46" s="2" t="inlineStr">
        <is>
          <t>Warehouse</t>
        </is>
      </c>
      <c r="G46" s="4">
        <f>SUMIF(Prior_Year_TB!A:A,A46,Prior_Year_TB!F:F)</f>
        <v/>
      </c>
      <c r="H46" s="4">
        <f>SUMIF(Current_Year_TB!A:A,A46,Current_Year_TB!F:F)</f>
        <v/>
      </c>
      <c r="I46" s="4">
        <f>H46-G46</f>
        <v/>
      </c>
      <c r="J46" s="5">
        <f>IFERROR(I46/ABS(G46),"")</f>
        <v/>
      </c>
      <c r="K46" s="2" t="inlineStr">
        <is>
          <t>Increase</t>
        </is>
      </c>
      <c r="L46" s="2" t="inlineStr">
        <is>
          <t>No</t>
        </is>
      </c>
      <c r="M46" s="2" t="inlineStr"/>
      <c r="N46" s="3" t="inlineStr"/>
      <c r="O46" s="3" t="inlineStr">
        <is>
          <t>Current-year balance increased by $16,541 compared with prior year.</t>
        </is>
      </c>
    </row>
    <row r="47">
      <c r="A47" s="2" t="inlineStr">
        <is>
          <t>7043</t>
        </is>
      </c>
      <c r="B47" s="2" t="n">
        <v>46</v>
      </c>
      <c r="C47" s="2" t="inlineStr">
        <is>
          <t>7043</t>
        </is>
      </c>
      <c r="D47" s="2" t="inlineStr">
        <is>
          <t>Bank Fees - Warehouse</t>
        </is>
      </c>
      <c r="E47" s="2" t="inlineStr">
        <is>
          <t>Other Expense</t>
        </is>
      </c>
      <c r="F47" s="2" t="inlineStr">
        <is>
          <t>Warehouse</t>
        </is>
      </c>
      <c r="G47" s="4">
        <f>SUMIF(Prior_Year_TB!A:A,A47,Prior_Year_TB!F:F)</f>
        <v/>
      </c>
      <c r="H47" s="4">
        <f>SUMIF(Current_Year_TB!A:A,A47,Current_Year_TB!F:F)</f>
        <v/>
      </c>
      <c r="I47" s="4">
        <f>H47-G47</f>
        <v/>
      </c>
      <c r="J47" s="5">
        <f>IFERROR(I47/ABS(G47),"")</f>
        <v/>
      </c>
      <c r="K47" s="2" t="inlineStr">
        <is>
          <t>Increase</t>
        </is>
      </c>
      <c r="L47" s="2" t="inlineStr">
        <is>
          <t>No</t>
        </is>
      </c>
      <c r="M47" s="2" t="inlineStr"/>
      <c r="N47" s="3" t="inlineStr"/>
      <c r="O47" s="3" t="inlineStr">
        <is>
          <t>Current-year balance increased by $15,411 compared with prior year.</t>
        </is>
      </c>
    </row>
    <row r="48">
      <c r="A48" s="2" t="inlineStr">
        <is>
          <t>1000</t>
        </is>
      </c>
      <c r="B48" s="2" t="n">
        <v>47</v>
      </c>
      <c r="C48" s="2" t="inlineStr">
        <is>
          <t>1000</t>
        </is>
      </c>
      <c r="D48" s="2" t="inlineStr">
        <is>
          <t>Accumulated Depreciation - Admin</t>
        </is>
      </c>
      <c r="E48" s="2" t="inlineStr">
        <is>
          <t>Assets</t>
        </is>
      </c>
      <c r="F48" s="2" t="inlineStr">
        <is>
          <t>Admin</t>
        </is>
      </c>
      <c r="G48" s="4">
        <f>SUMIF(Prior_Year_TB!A:A,A48,Prior_Year_TB!F:F)</f>
        <v/>
      </c>
      <c r="H48" s="4">
        <f>SUMIF(Current_Year_TB!A:A,A48,Current_Year_TB!F:F)</f>
        <v/>
      </c>
      <c r="I48" s="4">
        <f>H48-G48</f>
        <v/>
      </c>
      <c r="J48" s="5">
        <f>IFERROR(I48/ABS(G48),"")</f>
        <v/>
      </c>
      <c r="K48" s="2" t="inlineStr">
        <is>
          <t>Decrease</t>
        </is>
      </c>
      <c r="L48" s="2" t="inlineStr">
        <is>
          <t>No</t>
        </is>
      </c>
      <c r="M48" s="2" t="inlineStr"/>
      <c r="N48" s="3" t="inlineStr"/>
      <c r="O48" s="3" t="inlineStr">
        <is>
          <t>Current-year balance decreased by $15,306 compared with prior year.</t>
        </is>
      </c>
    </row>
    <row r="49">
      <c r="A49" s="2" t="inlineStr">
        <is>
          <t>2115</t>
        </is>
      </c>
      <c r="B49" s="2" t="n">
        <v>48</v>
      </c>
      <c r="C49" s="2" t="inlineStr">
        <is>
          <t>2115</t>
        </is>
      </c>
      <c r="D49" s="2" t="inlineStr">
        <is>
          <t>Payroll Liabilities - Admin</t>
        </is>
      </c>
      <c r="E49" s="2" t="inlineStr">
        <is>
          <t>Liabilities</t>
        </is>
      </c>
      <c r="F49" s="2" t="inlineStr">
        <is>
          <t>Admin</t>
        </is>
      </c>
      <c r="G49" s="4">
        <f>SUMIF(Prior_Year_TB!A:A,A49,Prior_Year_TB!F:F)</f>
        <v/>
      </c>
      <c r="H49" s="4">
        <f>SUMIF(Current_Year_TB!A:A,A49,Current_Year_TB!F:F)</f>
        <v/>
      </c>
      <c r="I49" s="4">
        <f>H49-G49</f>
        <v/>
      </c>
      <c r="J49" s="5">
        <f>IFERROR(I49/ABS(G49),"")</f>
        <v/>
      </c>
      <c r="K49" s="2" t="inlineStr">
        <is>
          <t>Increase</t>
        </is>
      </c>
      <c r="L49" s="2" t="inlineStr">
        <is>
          <t>No</t>
        </is>
      </c>
      <c r="M49" s="2" t="inlineStr"/>
      <c r="N49" s="3" t="inlineStr"/>
      <c r="O49" s="3" t="inlineStr">
        <is>
          <t>Current-year balance increased by $15,125 compared with prior year.</t>
        </is>
      </c>
    </row>
    <row r="50">
      <c r="A50" s="2" t="inlineStr">
        <is>
          <t>1181</t>
        </is>
      </c>
      <c r="B50" s="2" t="n">
        <v>49</v>
      </c>
      <c r="C50" s="2" t="inlineStr">
        <is>
          <t>1181</t>
        </is>
      </c>
      <c r="D50" s="2" t="inlineStr">
        <is>
          <t>Inventory - Sales</t>
        </is>
      </c>
      <c r="E50" s="2" t="inlineStr">
        <is>
          <t>Assets</t>
        </is>
      </c>
      <c r="F50" s="2" t="inlineStr">
        <is>
          <t>Sales</t>
        </is>
      </c>
      <c r="G50" s="4">
        <f>SUMIF(Prior_Year_TB!A:A,A50,Prior_Year_TB!F:F)</f>
        <v/>
      </c>
      <c r="H50" s="4">
        <f>SUMIF(Current_Year_TB!A:A,A50,Current_Year_TB!F:F)</f>
        <v/>
      </c>
      <c r="I50" s="4">
        <f>H50-G50</f>
        <v/>
      </c>
      <c r="J50" s="5">
        <f>IFERROR(I50/ABS(G50),"")</f>
        <v/>
      </c>
      <c r="K50" s="2" t="inlineStr">
        <is>
          <t>Increase</t>
        </is>
      </c>
      <c r="L50" s="2" t="inlineStr">
        <is>
          <t>No</t>
        </is>
      </c>
      <c r="M50" s="2" t="inlineStr"/>
      <c r="N50" s="3" t="inlineStr"/>
      <c r="O50" s="3" t="inlineStr">
        <is>
          <t>Current-year balance increased by $14,993 compared with prior year.</t>
        </is>
      </c>
    </row>
    <row r="51">
      <c r="A51" s="2" t="inlineStr">
        <is>
          <t>7104</t>
        </is>
      </c>
      <c r="B51" s="2" t="n">
        <v>50</v>
      </c>
      <c r="C51" s="2" t="inlineStr">
        <is>
          <t>7104</t>
        </is>
      </c>
      <c r="D51" s="2" t="inlineStr">
        <is>
          <t>Taxes and Licenses - IT</t>
        </is>
      </c>
      <c r="E51" s="2" t="inlineStr">
        <is>
          <t>Other Expense</t>
        </is>
      </c>
      <c r="F51" s="2" t="inlineStr">
        <is>
          <t>IT</t>
        </is>
      </c>
      <c r="G51" s="4">
        <f>SUMIF(Prior_Year_TB!A:A,A51,Prior_Year_TB!F:F)</f>
        <v/>
      </c>
      <c r="H51" s="4">
        <f>SUMIF(Current_Year_TB!A:A,A51,Current_Year_TB!F:F)</f>
        <v/>
      </c>
      <c r="I51" s="4">
        <f>H51-G51</f>
        <v/>
      </c>
      <c r="J51" s="5">
        <f>IFERROR(I51/ABS(G51),"")</f>
        <v/>
      </c>
      <c r="K51" s="2" t="inlineStr">
        <is>
          <t>Increase</t>
        </is>
      </c>
      <c r="L51" s="2" t="inlineStr">
        <is>
          <t>No</t>
        </is>
      </c>
      <c r="M51" s="2" t="inlineStr"/>
      <c r="N51" s="3" t="inlineStr"/>
      <c r="O51" s="3" t="inlineStr">
        <is>
          <t>Current-year balance increased by $14,622 compared with prior year.</t>
        </is>
      </c>
    </row>
    <row r="52">
      <c r="A52" s="2" t="inlineStr">
        <is>
          <t>5042</t>
        </is>
      </c>
      <c r="B52" s="2" t="n">
        <v>51</v>
      </c>
      <c r="C52" s="2" t="inlineStr">
        <is>
          <t>5042</t>
        </is>
      </c>
      <c r="D52" s="2" t="inlineStr">
        <is>
          <t>Labor - Warehouse</t>
        </is>
      </c>
      <c r="E52" s="2" t="inlineStr">
        <is>
          <t>COGS</t>
        </is>
      </c>
      <c r="F52" s="2" t="inlineStr">
        <is>
          <t>Warehouse</t>
        </is>
      </c>
      <c r="G52" s="4">
        <f>SUMIF(Prior_Year_TB!A:A,A52,Prior_Year_TB!F:F)</f>
        <v/>
      </c>
      <c r="H52" s="4">
        <f>SUMIF(Current_Year_TB!A:A,A52,Current_Year_TB!F:F)</f>
        <v/>
      </c>
      <c r="I52" s="4">
        <f>H52-G52</f>
        <v/>
      </c>
      <c r="J52" s="5">
        <f>IFERROR(I52/ABS(G52),"")</f>
        <v/>
      </c>
      <c r="K52" s="2" t="inlineStr">
        <is>
          <t>Increase</t>
        </is>
      </c>
      <c r="L52" s="2" t="inlineStr">
        <is>
          <t>No</t>
        </is>
      </c>
      <c r="M52" s="2" t="inlineStr"/>
      <c r="N52" s="3" t="inlineStr"/>
      <c r="O52" s="3" t="inlineStr">
        <is>
          <t>Current-year balance increased by $14,552 compared with prior year.</t>
        </is>
      </c>
    </row>
    <row r="53">
      <c r="A53" s="2" t="inlineStr">
        <is>
          <t>4303</t>
        </is>
      </c>
      <c r="B53" s="2" t="n">
        <v>52</v>
      </c>
      <c r="C53" s="2" t="inlineStr">
        <is>
          <t>4303</t>
        </is>
      </c>
      <c r="D53" s="2" t="inlineStr">
        <is>
          <t>Discounts - IT</t>
        </is>
      </c>
      <c r="E53" s="2" t="inlineStr">
        <is>
          <t>Revenue</t>
        </is>
      </c>
      <c r="F53" s="2" t="inlineStr">
        <is>
          <t>IT</t>
        </is>
      </c>
      <c r="G53" s="4">
        <f>SUMIF(Prior_Year_TB!A:A,A53,Prior_Year_TB!F:F)</f>
        <v/>
      </c>
      <c r="H53" s="4">
        <f>SUMIF(Current_Year_TB!A:A,A53,Current_Year_TB!F:F)</f>
        <v/>
      </c>
      <c r="I53" s="4">
        <f>H53-G53</f>
        <v/>
      </c>
      <c r="J53" s="5">
        <f>IFERROR(I53/ABS(G53),"")</f>
        <v/>
      </c>
      <c r="K53" s="2" t="inlineStr">
        <is>
          <t>Decrease</t>
        </is>
      </c>
      <c r="L53" s="2" t="inlineStr">
        <is>
          <t>No</t>
        </is>
      </c>
      <c r="M53" s="2" t="inlineStr"/>
      <c r="N53" s="3" t="inlineStr"/>
      <c r="O53" s="3" t="inlineStr">
        <is>
          <t>Current-year balance decreased by $14,446 compared with prior year.</t>
        </is>
      </c>
    </row>
    <row r="54">
      <c r="A54" s="2" t="inlineStr">
        <is>
          <t>2224</t>
        </is>
      </c>
      <c r="B54" s="2" t="n">
        <v>53</v>
      </c>
      <c r="C54" s="2" t="inlineStr">
        <is>
          <t>2224</t>
        </is>
      </c>
      <c r="D54" s="2" t="inlineStr">
        <is>
          <t>Deferred Revenue - IT</t>
        </is>
      </c>
      <c r="E54" s="2" t="inlineStr">
        <is>
          <t>Liabilities</t>
        </is>
      </c>
      <c r="F54" s="2" t="inlineStr">
        <is>
          <t>IT</t>
        </is>
      </c>
      <c r="G54" s="4">
        <f>SUMIF(Prior_Year_TB!A:A,A54,Prior_Year_TB!F:F)</f>
        <v/>
      </c>
      <c r="H54" s="4">
        <f>SUMIF(Current_Year_TB!A:A,A54,Current_Year_TB!F:F)</f>
        <v/>
      </c>
      <c r="I54" s="4">
        <f>H54-G54</f>
        <v/>
      </c>
      <c r="J54" s="5">
        <f>IFERROR(I54/ABS(G54),"")</f>
        <v/>
      </c>
      <c r="K54" s="2" t="inlineStr">
        <is>
          <t>Increase</t>
        </is>
      </c>
      <c r="L54" s="2" t="inlineStr">
        <is>
          <t>No</t>
        </is>
      </c>
      <c r="M54" s="2" t="inlineStr"/>
      <c r="N54" s="3" t="inlineStr"/>
      <c r="O54" s="3" t="inlineStr">
        <is>
          <t>Current-year balance increased by $14,345 compared with prior year.</t>
        </is>
      </c>
    </row>
    <row r="55">
      <c r="A55" s="2" t="inlineStr">
        <is>
          <t>2215</t>
        </is>
      </c>
      <c r="B55" s="2" t="n">
        <v>54</v>
      </c>
      <c r="C55" s="2" t="inlineStr">
        <is>
          <t>2215</t>
        </is>
      </c>
      <c r="D55" s="2" t="inlineStr">
        <is>
          <t>Payroll Liabilities - IT</t>
        </is>
      </c>
      <c r="E55" s="2" t="inlineStr">
        <is>
          <t>Liabilities</t>
        </is>
      </c>
      <c r="F55" s="2" t="inlineStr">
        <is>
          <t>IT</t>
        </is>
      </c>
      <c r="G55" s="4">
        <f>SUMIF(Prior_Year_TB!A:A,A55,Prior_Year_TB!F:F)</f>
        <v/>
      </c>
      <c r="H55" s="4">
        <f>SUMIF(Current_Year_TB!A:A,A55,Current_Year_TB!F:F)</f>
        <v/>
      </c>
      <c r="I55" s="4">
        <f>H55-G55</f>
        <v/>
      </c>
      <c r="J55" s="5">
        <f>IFERROR(I55/ABS(G55),"")</f>
        <v/>
      </c>
      <c r="K55" s="2" t="inlineStr">
        <is>
          <t>Increase</t>
        </is>
      </c>
      <c r="L55" s="2" t="inlineStr">
        <is>
          <t>No</t>
        </is>
      </c>
      <c r="M55" s="2" t="inlineStr"/>
      <c r="N55" s="3" t="inlineStr"/>
      <c r="O55" s="3" t="inlineStr">
        <is>
          <t>Current-year balance increased by $14,318 compared with prior year.</t>
        </is>
      </c>
    </row>
    <row r="56">
      <c r="A56" s="2" t="inlineStr">
        <is>
          <t>1245</t>
        </is>
      </c>
      <c r="B56" s="2" t="n">
        <v>55</v>
      </c>
      <c r="C56" s="2" t="inlineStr">
        <is>
          <t>1245</t>
        </is>
      </c>
      <c r="D56" s="2" t="inlineStr">
        <is>
          <t>Accumulated Depreciation - Admin</t>
        </is>
      </c>
      <c r="E56" s="2" t="inlineStr">
        <is>
          <t>Assets</t>
        </is>
      </c>
      <c r="F56" s="2" t="inlineStr">
        <is>
          <t>Admin</t>
        </is>
      </c>
      <c r="G56" s="4">
        <f>SUMIF(Prior_Year_TB!A:A,A56,Prior_Year_TB!F:F)</f>
        <v/>
      </c>
      <c r="H56" s="4">
        <f>SUMIF(Current_Year_TB!A:A,A56,Current_Year_TB!F:F)</f>
        <v/>
      </c>
      <c r="I56" s="4">
        <f>H56-G56</f>
        <v/>
      </c>
      <c r="J56" s="5">
        <f>IFERROR(I56/ABS(G56),"")</f>
        <v/>
      </c>
      <c r="K56" s="2" t="inlineStr">
        <is>
          <t>Decrease</t>
        </is>
      </c>
      <c r="L56" s="2" t="inlineStr">
        <is>
          <t>No</t>
        </is>
      </c>
      <c r="M56" s="2" t="inlineStr"/>
      <c r="N56" s="3" t="inlineStr"/>
      <c r="O56" s="3" t="inlineStr">
        <is>
          <t>Current-year balance decreased by $14,078 compared with prior year.</t>
        </is>
      </c>
    </row>
    <row r="57">
      <c r="A57" s="2" t="inlineStr">
        <is>
          <t>5284</t>
        </is>
      </c>
      <c r="B57" s="2" t="n">
        <v>56</v>
      </c>
      <c r="C57" s="2" t="inlineStr">
        <is>
          <t>5284</t>
        </is>
      </c>
      <c r="D57" s="2" t="inlineStr">
        <is>
          <t>Labor - IT</t>
        </is>
      </c>
      <c r="E57" s="2" t="inlineStr">
        <is>
          <t>COGS</t>
        </is>
      </c>
      <c r="F57" s="2" t="inlineStr">
        <is>
          <t>IT</t>
        </is>
      </c>
      <c r="G57" s="4">
        <f>SUMIF(Prior_Year_TB!A:A,A57,Prior_Year_TB!F:F)</f>
        <v/>
      </c>
      <c r="H57" s="4">
        <f>SUMIF(Current_Year_TB!A:A,A57,Current_Year_TB!F:F)</f>
        <v/>
      </c>
      <c r="I57" s="4">
        <f>H57-G57</f>
        <v/>
      </c>
      <c r="J57" s="5">
        <f>IFERROR(I57/ABS(G57),"")</f>
        <v/>
      </c>
      <c r="K57" s="2" t="inlineStr">
        <is>
          <t>Increase</t>
        </is>
      </c>
      <c r="L57" s="2" t="inlineStr">
        <is>
          <t>No</t>
        </is>
      </c>
      <c r="M57" s="2" t="inlineStr"/>
      <c r="N57" s="3" t="inlineStr"/>
      <c r="O57" s="3" t="inlineStr">
        <is>
          <t>Current-year balance increased by $13,713 compared with prior year.</t>
        </is>
      </c>
    </row>
    <row r="58">
      <c r="A58" s="2" t="inlineStr">
        <is>
          <t>1193</t>
        </is>
      </c>
      <c r="B58" s="2" t="n">
        <v>57</v>
      </c>
      <c r="C58" s="2" t="inlineStr">
        <is>
          <t>1193</t>
        </is>
      </c>
      <c r="D58" s="2" t="inlineStr">
        <is>
          <t>Accounts Receivable - Corporate</t>
        </is>
      </c>
      <c r="E58" s="2" t="inlineStr">
        <is>
          <t>Assets</t>
        </is>
      </c>
      <c r="F58" s="2" t="inlineStr">
        <is>
          <t>Corporate</t>
        </is>
      </c>
      <c r="G58" s="4">
        <f>SUMIF(Prior_Year_TB!A:A,A58,Prior_Year_TB!F:F)</f>
        <v/>
      </c>
      <c r="H58" s="4">
        <f>SUMIF(Current_Year_TB!A:A,A58,Current_Year_TB!F:F)</f>
        <v/>
      </c>
      <c r="I58" s="4">
        <f>H58-G58</f>
        <v/>
      </c>
      <c r="J58" s="5">
        <f>IFERROR(I58/ABS(G58),"")</f>
        <v/>
      </c>
      <c r="K58" s="2" t="inlineStr">
        <is>
          <t>Increase</t>
        </is>
      </c>
      <c r="L58" s="2" t="inlineStr">
        <is>
          <t>No</t>
        </is>
      </c>
      <c r="M58" s="2" t="inlineStr"/>
      <c r="N58" s="3" t="inlineStr"/>
      <c r="O58" s="3" t="inlineStr">
        <is>
          <t>Current-year balance increased by $13,692 compared with prior year.</t>
        </is>
      </c>
    </row>
    <row r="59">
      <c r="A59" s="2" t="inlineStr">
        <is>
          <t>4150</t>
        </is>
      </c>
      <c r="B59" s="2" t="n">
        <v>58</v>
      </c>
      <c r="C59" s="2" t="inlineStr">
        <is>
          <t>4150</t>
        </is>
      </c>
      <c r="D59" s="2" t="inlineStr">
        <is>
          <t>Other Income - Warehouse</t>
        </is>
      </c>
      <c r="E59" s="2" t="inlineStr">
        <is>
          <t>Revenue</t>
        </is>
      </c>
      <c r="F59" s="2" t="inlineStr">
        <is>
          <t>Warehouse</t>
        </is>
      </c>
      <c r="G59" s="4">
        <f>SUMIF(Prior_Year_TB!A:A,A59,Prior_Year_TB!F:F)</f>
        <v/>
      </c>
      <c r="H59" s="4">
        <f>SUMIF(Current_Year_TB!A:A,A59,Current_Year_TB!F:F)</f>
        <v/>
      </c>
      <c r="I59" s="4">
        <f>H59-G59</f>
        <v/>
      </c>
      <c r="J59" s="5">
        <f>IFERROR(I59/ABS(G59),"")</f>
        <v/>
      </c>
      <c r="K59" s="2" t="inlineStr">
        <is>
          <t>Increase</t>
        </is>
      </c>
      <c r="L59" s="2" t="inlineStr">
        <is>
          <t>No</t>
        </is>
      </c>
      <c r="M59" s="2" t="inlineStr"/>
      <c r="N59" s="3" t="inlineStr"/>
      <c r="O59" s="3" t="inlineStr">
        <is>
          <t>Current-year balance increased by $13,687 compared with prior year.</t>
        </is>
      </c>
    </row>
    <row r="60">
      <c r="A60" s="2" t="inlineStr">
        <is>
          <t>6423</t>
        </is>
      </c>
      <c r="B60" s="2" t="n">
        <v>59</v>
      </c>
      <c r="C60" s="2" t="inlineStr">
        <is>
          <t>6423</t>
        </is>
      </c>
      <c r="D60" s="2" t="inlineStr">
        <is>
          <t>Office Supplies - Sales</t>
        </is>
      </c>
      <c r="E60" s="2" t="inlineStr">
        <is>
          <t>Operating Expenses</t>
        </is>
      </c>
      <c r="F60" s="2" t="inlineStr">
        <is>
          <t>Sales</t>
        </is>
      </c>
      <c r="G60" s="4">
        <f>SUMIF(Prior_Year_TB!A:A,A60,Prior_Year_TB!F:F)</f>
        <v/>
      </c>
      <c r="H60" s="4">
        <f>SUMIF(Current_Year_TB!A:A,A60,Current_Year_TB!F:F)</f>
        <v/>
      </c>
      <c r="I60" s="4">
        <f>H60-G60</f>
        <v/>
      </c>
      <c r="J60" s="5">
        <f>IFERROR(I60/ABS(G60),"")</f>
        <v/>
      </c>
      <c r="K60" s="2" t="inlineStr">
        <is>
          <t>Increase</t>
        </is>
      </c>
      <c r="L60" s="2" t="inlineStr">
        <is>
          <t>No</t>
        </is>
      </c>
      <c r="M60" s="2" t="inlineStr"/>
      <c r="N60" s="3" t="inlineStr"/>
      <c r="O60" s="3" t="inlineStr">
        <is>
          <t>Current-year balance increased by $13,676 compared with prior year.</t>
        </is>
      </c>
    </row>
    <row r="61">
      <c r="A61" s="2" t="inlineStr">
        <is>
          <t>5161</t>
        </is>
      </c>
      <c r="B61" s="2" t="n">
        <v>60</v>
      </c>
      <c r="C61" s="2" t="inlineStr">
        <is>
          <t>5161</t>
        </is>
      </c>
      <c r="D61" s="2" t="inlineStr">
        <is>
          <t>Materials - Sales</t>
        </is>
      </c>
      <c r="E61" s="2" t="inlineStr">
        <is>
          <t>COGS</t>
        </is>
      </c>
      <c r="F61" s="2" t="inlineStr">
        <is>
          <t>Sales</t>
        </is>
      </c>
      <c r="G61" s="4">
        <f>SUMIF(Prior_Year_TB!A:A,A61,Prior_Year_TB!F:F)</f>
        <v/>
      </c>
      <c r="H61" s="4">
        <f>SUMIF(Current_Year_TB!A:A,A61,Current_Year_TB!F:F)</f>
        <v/>
      </c>
      <c r="I61" s="4">
        <f>H61-G61</f>
        <v/>
      </c>
      <c r="J61" s="5">
        <f>IFERROR(I61/ABS(G61),"")</f>
        <v/>
      </c>
      <c r="K61" s="2" t="inlineStr">
        <is>
          <t>Increase</t>
        </is>
      </c>
      <c r="L61" s="2" t="inlineStr">
        <is>
          <t>No</t>
        </is>
      </c>
      <c r="M61" s="2" t="inlineStr"/>
      <c r="N61" s="3" t="inlineStr"/>
      <c r="O61" s="3" t="inlineStr">
        <is>
          <t>Current-year balance increased by $13,580 compared with prior year.</t>
        </is>
      </c>
    </row>
    <row r="62">
      <c r="A62" s="2" t="inlineStr">
        <is>
          <t>6341</t>
        </is>
      </c>
      <c r="B62" s="2" t="n">
        <v>61</v>
      </c>
      <c r="C62" s="2" t="inlineStr">
        <is>
          <t>6341</t>
        </is>
      </c>
      <c r="D62" s="2" t="inlineStr">
        <is>
          <t>Utilities - Admin</t>
        </is>
      </c>
      <c r="E62" s="2" t="inlineStr">
        <is>
          <t>Operating Expenses</t>
        </is>
      </c>
      <c r="F62" s="2" t="inlineStr">
        <is>
          <t>Admin</t>
        </is>
      </c>
      <c r="G62" s="4">
        <f>SUMIF(Prior_Year_TB!A:A,A62,Prior_Year_TB!F:F)</f>
        <v/>
      </c>
      <c r="H62" s="4">
        <f>SUMIF(Current_Year_TB!A:A,A62,Current_Year_TB!F:F)</f>
        <v/>
      </c>
      <c r="I62" s="4">
        <f>H62-G62</f>
        <v/>
      </c>
      <c r="J62" s="5">
        <f>IFERROR(I62/ABS(G62),"")</f>
        <v/>
      </c>
      <c r="K62" s="2" t="inlineStr">
        <is>
          <t>Increase</t>
        </is>
      </c>
      <c r="L62" s="2" t="inlineStr">
        <is>
          <t>No</t>
        </is>
      </c>
      <c r="M62" s="2" t="inlineStr"/>
      <c r="N62" s="3" t="inlineStr"/>
      <c r="O62" s="3" t="inlineStr">
        <is>
          <t>Current-year balance increased by $13,540 compared with prior year.</t>
        </is>
      </c>
    </row>
    <row r="63">
      <c r="A63" s="2" t="inlineStr">
        <is>
          <t>1090</t>
        </is>
      </c>
      <c r="B63" s="2" t="n">
        <v>62</v>
      </c>
      <c r="C63" s="2" t="inlineStr">
        <is>
          <t>1090</t>
        </is>
      </c>
      <c r="D63" s="2" t="inlineStr">
        <is>
          <t>Cash - Ops</t>
        </is>
      </c>
      <c r="E63" s="2" t="inlineStr">
        <is>
          <t>Assets</t>
        </is>
      </c>
      <c r="F63" s="2" t="inlineStr">
        <is>
          <t>Ops</t>
        </is>
      </c>
      <c r="G63" s="4">
        <f>SUMIF(Prior_Year_TB!A:A,A63,Prior_Year_TB!F:F)</f>
        <v/>
      </c>
      <c r="H63" s="4">
        <f>SUMIF(Current_Year_TB!A:A,A63,Current_Year_TB!F:F)</f>
        <v/>
      </c>
      <c r="I63" s="4">
        <f>H63-G63</f>
        <v/>
      </c>
      <c r="J63" s="5">
        <f>IFERROR(I63/ABS(G63),"")</f>
        <v/>
      </c>
      <c r="K63" s="2" t="inlineStr">
        <is>
          <t>Increase</t>
        </is>
      </c>
      <c r="L63" s="2" t="inlineStr">
        <is>
          <t>No</t>
        </is>
      </c>
      <c r="M63" s="2" t="inlineStr"/>
      <c r="N63" s="3" t="inlineStr"/>
      <c r="O63" s="3" t="inlineStr">
        <is>
          <t>Current-year balance increased by $13,362 compared with prior year.</t>
        </is>
      </c>
    </row>
    <row r="64">
      <c r="A64" s="2" t="inlineStr">
        <is>
          <t>7194</t>
        </is>
      </c>
      <c r="B64" s="2" t="n">
        <v>63</v>
      </c>
      <c r="C64" s="2" t="inlineStr">
        <is>
          <t>7194</t>
        </is>
      </c>
      <c r="D64" s="2" t="inlineStr">
        <is>
          <t>Miscellaneous Expense - Ops</t>
        </is>
      </c>
      <c r="E64" s="2" t="inlineStr">
        <is>
          <t>Other Expense</t>
        </is>
      </c>
      <c r="F64" s="2" t="inlineStr">
        <is>
          <t>Ops</t>
        </is>
      </c>
      <c r="G64" s="4">
        <f>SUMIF(Prior_Year_TB!A:A,A64,Prior_Year_TB!F:F)</f>
        <v/>
      </c>
      <c r="H64" s="4">
        <f>SUMIF(Current_Year_TB!A:A,A64,Current_Year_TB!F:F)</f>
        <v/>
      </c>
      <c r="I64" s="4">
        <f>H64-G64</f>
        <v/>
      </c>
      <c r="J64" s="5">
        <f>IFERROR(I64/ABS(G64),"")</f>
        <v/>
      </c>
      <c r="K64" s="2" t="inlineStr">
        <is>
          <t>Increase</t>
        </is>
      </c>
      <c r="L64" s="2" t="inlineStr">
        <is>
          <t>No</t>
        </is>
      </c>
      <c r="M64" s="2" t="inlineStr"/>
      <c r="N64" s="3" t="inlineStr"/>
      <c r="O64" s="3" t="inlineStr">
        <is>
          <t>Current-year balance increased by $13,235 compared with prior year.</t>
        </is>
      </c>
    </row>
    <row r="65">
      <c r="A65" s="2" t="inlineStr">
        <is>
          <t>4290</t>
        </is>
      </c>
      <c r="B65" s="2" t="n">
        <v>64</v>
      </c>
      <c r="C65" s="2" t="inlineStr">
        <is>
          <t>4290</t>
        </is>
      </c>
      <c r="D65" s="2" t="inlineStr">
        <is>
          <t>Other Income - IT</t>
        </is>
      </c>
      <c r="E65" s="2" t="inlineStr">
        <is>
          <t>Revenue</t>
        </is>
      </c>
      <c r="F65" s="2" t="inlineStr">
        <is>
          <t>IT</t>
        </is>
      </c>
      <c r="G65" s="4">
        <f>SUMIF(Prior_Year_TB!A:A,A65,Prior_Year_TB!F:F)</f>
        <v/>
      </c>
      <c r="H65" s="4">
        <f>SUMIF(Current_Year_TB!A:A,A65,Current_Year_TB!F:F)</f>
        <v/>
      </c>
      <c r="I65" s="4">
        <f>H65-G65</f>
        <v/>
      </c>
      <c r="J65" s="5">
        <f>IFERROR(I65/ABS(G65),"")</f>
        <v/>
      </c>
      <c r="K65" s="2" t="inlineStr">
        <is>
          <t>Decrease</t>
        </is>
      </c>
      <c r="L65" s="2" t="inlineStr">
        <is>
          <t>No</t>
        </is>
      </c>
      <c r="M65" s="2" t="inlineStr"/>
      <c r="N65" s="3" t="inlineStr"/>
      <c r="O65" s="3" t="inlineStr">
        <is>
          <t>Current-year balance decreased by $13,164 compared with prior year.</t>
        </is>
      </c>
    </row>
    <row r="66">
      <c r="A66" s="2" t="inlineStr">
        <is>
          <t>6291</t>
        </is>
      </c>
      <c r="B66" s="2" t="n">
        <v>65</v>
      </c>
      <c r="C66" s="2" t="inlineStr">
        <is>
          <t>6291</t>
        </is>
      </c>
      <c r="D66" s="2" t="inlineStr">
        <is>
          <t>Travel - Sales</t>
        </is>
      </c>
      <c r="E66" s="2" t="inlineStr">
        <is>
          <t>Operating Expenses</t>
        </is>
      </c>
      <c r="F66" s="2" t="inlineStr">
        <is>
          <t>Sales</t>
        </is>
      </c>
      <c r="G66" s="4">
        <f>SUMIF(Prior_Year_TB!A:A,A66,Prior_Year_TB!F:F)</f>
        <v/>
      </c>
      <c r="H66" s="4">
        <f>SUMIF(Current_Year_TB!A:A,A66,Current_Year_TB!F:F)</f>
        <v/>
      </c>
      <c r="I66" s="4">
        <f>H66-G66</f>
        <v/>
      </c>
      <c r="J66" s="5">
        <f>IFERROR(I66/ABS(G66),"")</f>
        <v/>
      </c>
      <c r="K66" s="2" t="inlineStr">
        <is>
          <t>Increase</t>
        </is>
      </c>
      <c r="L66" s="2" t="inlineStr">
        <is>
          <t>No</t>
        </is>
      </c>
      <c r="M66" s="2" t="inlineStr"/>
      <c r="N66" s="3" t="inlineStr"/>
      <c r="O66" s="3" t="inlineStr">
        <is>
          <t>Current-year balance increased by $12,638 compared with prior year.</t>
        </is>
      </c>
    </row>
    <row r="67">
      <c r="A67" s="2" t="inlineStr">
        <is>
          <t>4143</t>
        </is>
      </c>
      <c r="B67" s="2" t="n">
        <v>66</v>
      </c>
      <c r="C67" s="2" t="inlineStr">
        <is>
          <t>4143</t>
        </is>
      </c>
      <c r="D67" s="2" t="inlineStr">
        <is>
          <t>Other Income - IT</t>
        </is>
      </c>
      <c r="E67" s="2" t="inlineStr">
        <is>
          <t>Revenue</t>
        </is>
      </c>
      <c r="F67" s="2" t="inlineStr">
        <is>
          <t>IT</t>
        </is>
      </c>
      <c r="G67" s="4">
        <f>SUMIF(Prior_Year_TB!A:A,A67,Prior_Year_TB!F:F)</f>
        <v/>
      </c>
      <c r="H67" s="4">
        <f>SUMIF(Current_Year_TB!A:A,A67,Current_Year_TB!F:F)</f>
        <v/>
      </c>
      <c r="I67" s="4">
        <f>H67-G67</f>
        <v/>
      </c>
      <c r="J67" s="5">
        <f>IFERROR(I67/ABS(G67),"")</f>
        <v/>
      </c>
      <c r="K67" s="2" t="inlineStr">
        <is>
          <t>Decrease</t>
        </is>
      </c>
      <c r="L67" s="2" t="inlineStr">
        <is>
          <t>No</t>
        </is>
      </c>
      <c r="M67" s="2" t="inlineStr"/>
      <c r="N67" s="3" t="inlineStr"/>
      <c r="O67" s="3" t="inlineStr">
        <is>
          <t>Current-year balance decreased by $12,588 compared with prior year.</t>
        </is>
      </c>
    </row>
    <row r="68">
      <c r="A68" s="2" t="inlineStr">
        <is>
          <t>4091</t>
        </is>
      </c>
      <c r="B68" s="2" t="n">
        <v>67</v>
      </c>
      <c r="C68" s="2" t="inlineStr">
        <is>
          <t>4091</t>
        </is>
      </c>
      <c r="D68" s="2" t="inlineStr">
        <is>
          <t>Service Revenue - Ops</t>
        </is>
      </c>
      <c r="E68" s="2" t="inlineStr">
        <is>
          <t>Revenue</t>
        </is>
      </c>
      <c r="F68" s="2" t="inlineStr">
        <is>
          <t>Ops</t>
        </is>
      </c>
      <c r="G68" s="4">
        <f>SUMIF(Prior_Year_TB!A:A,A68,Prior_Year_TB!F:F)</f>
        <v/>
      </c>
      <c r="H68" s="4">
        <f>SUMIF(Current_Year_TB!A:A,A68,Current_Year_TB!F:F)</f>
        <v/>
      </c>
      <c r="I68" s="4">
        <f>H68-G68</f>
        <v/>
      </c>
      <c r="J68" s="5">
        <f>IFERROR(I68/ABS(G68),"")</f>
        <v/>
      </c>
      <c r="K68" s="2" t="inlineStr">
        <is>
          <t>Decrease</t>
        </is>
      </c>
      <c r="L68" s="2" t="inlineStr">
        <is>
          <t>No</t>
        </is>
      </c>
      <c r="M68" s="2" t="inlineStr"/>
      <c r="N68" s="3" t="inlineStr"/>
      <c r="O68" s="3" t="inlineStr">
        <is>
          <t>Current-year balance decreased by $12,493 compared with prior year.</t>
        </is>
      </c>
    </row>
    <row r="69">
      <c r="A69" s="2" t="inlineStr">
        <is>
          <t>1145</t>
        </is>
      </c>
      <c r="B69" s="2" t="n">
        <v>68</v>
      </c>
      <c r="C69" s="2" t="inlineStr">
        <is>
          <t>1145</t>
        </is>
      </c>
      <c r="D69" s="2" t="inlineStr">
        <is>
          <t>Fixed Assets - Admin</t>
        </is>
      </c>
      <c r="E69" s="2" t="inlineStr">
        <is>
          <t>Assets</t>
        </is>
      </c>
      <c r="F69" s="2" t="inlineStr">
        <is>
          <t>Admin</t>
        </is>
      </c>
      <c r="G69" s="4">
        <f>SUMIF(Prior_Year_TB!A:A,A69,Prior_Year_TB!F:F)</f>
        <v/>
      </c>
      <c r="H69" s="4">
        <f>SUMIF(Current_Year_TB!A:A,A69,Current_Year_TB!F:F)</f>
        <v/>
      </c>
      <c r="I69" s="4">
        <f>H69-G69</f>
        <v/>
      </c>
      <c r="J69" s="5">
        <f>IFERROR(I69/ABS(G69),"")</f>
        <v/>
      </c>
      <c r="K69" s="2" t="inlineStr">
        <is>
          <t>Increase</t>
        </is>
      </c>
      <c r="L69" s="2" t="inlineStr">
        <is>
          <t>No</t>
        </is>
      </c>
      <c r="M69" s="2" t="inlineStr"/>
      <c r="N69" s="3" t="inlineStr"/>
      <c r="O69" s="3" t="inlineStr">
        <is>
          <t>Current-year balance increased by $11,404 compared with prior year.</t>
        </is>
      </c>
    </row>
    <row r="70">
      <c r="A70" s="2" t="inlineStr">
        <is>
          <t>7164</t>
        </is>
      </c>
      <c r="B70" s="2" t="n">
        <v>69</v>
      </c>
      <c r="C70" s="2" t="inlineStr">
        <is>
          <t>7164</t>
        </is>
      </c>
      <c r="D70" s="2" t="inlineStr">
        <is>
          <t>Taxes and Licenses - Warehouse</t>
        </is>
      </c>
      <c r="E70" s="2" t="inlineStr">
        <is>
          <t>Other Expense</t>
        </is>
      </c>
      <c r="F70" s="2" t="inlineStr">
        <is>
          <t>Warehouse</t>
        </is>
      </c>
      <c r="G70" s="4">
        <f>SUMIF(Prior_Year_TB!A:A,A70,Prior_Year_TB!F:F)</f>
        <v/>
      </c>
      <c r="H70" s="4">
        <f>SUMIF(Current_Year_TB!A:A,A70,Current_Year_TB!F:F)</f>
        <v/>
      </c>
      <c r="I70" s="4">
        <f>H70-G70</f>
        <v/>
      </c>
      <c r="J70" s="5">
        <f>IFERROR(I70/ABS(G70),"")</f>
        <v/>
      </c>
      <c r="K70" s="2" t="inlineStr">
        <is>
          <t>Decrease</t>
        </is>
      </c>
      <c r="L70" s="2" t="inlineStr">
        <is>
          <t>No</t>
        </is>
      </c>
      <c r="M70" s="2" t="inlineStr"/>
      <c r="N70" s="3" t="inlineStr"/>
      <c r="O70" s="3" t="inlineStr">
        <is>
          <t>Current-year balance decreased by $11,228 compared with prior year.</t>
        </is>
      </c>
    </row>
    <row r="71">
      <c r="A71" s="2" t="inlineStr">
        <is>
          <t>7003</t>
        </is>
      </c>
      <c r="B71" s="2" t="n">
        <v>70</v>
      </c>
      <c r="C71" s="2" t="inlineStr">
        <is>
          <t>7003</t>
        </is>
      </c>
      <c r="D71" s="2" t="inlineStr">
        <is>
          <t>Bank Fees - Ops</t>
        </is>
      </c>
      <c r="E71" s="2" t="inlineStr">
        <is>
          <t>Other Expense</t>
        </is>
      </c>
      <c r="F71" s="2" t="inlineStr">
        <is>
          <t>Ops</t>
        </is>
      </c>
      <c r="G71" s="4">
        <f>SUMIF(Prior_Year_TB!A:A,A71,Prior_Year_TB!F:F)</f>
        <v/>
      </c>
      <c r="H71" s="4">
        <f>SUMIF(Current_Year_TB!A:A,A71,Current_Year_TB!F:F)</f>
        <v/>
      </c>
      <c r="I71" s="4">
        <f>H71-G71</f>
        <v/>
      </c>
      <c r="J71" s="5">
        <f>IFERROR(I71/ABS(G71),"")</f>
        <v/>
      </c>
      <c r="K71" s="2" t="inlineStr">
        <is>
          <t>Increase</t>
        </is>
      </c>
      <c r="L71" s="2" t="inlineStr">
        <is>
          <t>No</t>
        </is>
      </c>
      <c r="M71" s="2" t="inlineStr"/>
      <c r="N71" s="3" t="inlineStr"/>
      <c r="O71" s="3" t="inlineStr">
        <is>
          <t>Current-year balance increased by $11,020 compared with prior year.</t>
        </is>
      </c>
    </row>
    <row r="72">
      <c r="A72" s="2" t="inlineStr">
        <is>
          <t>6163</t>
        </is>
      </c>
      <c r="B72" s="2" t="n">
        <v>71</v>
      </c>
      <c r="C72" s="2" t="inlineStr">
        <is>
          <t>6163</t>
        </is>
      </c>
      <c r="D72" s="2" t="inlineStr">
        <is>
          <t>Salaries - Sales</t>
        </is>
      </c>
      <c r="E72" s="2" t="inlineStr">
        <is>
          <t>Operating Expenses</t>
        </is>
      </c>
      <c r="F72" s="2" t="inlineStr">
        <is>
          <t>Sales</t>
        </is>
      </c>
      <c r="G72" s="4">
        <f>SUMIF(Prior_Year_TB!A:A,A72,Prior_Year_TB!F:F)</f>
        <v/>
      </c>
      <c r="H72" s="4">
        <f>SUMIF(Current_Year_TB!A:A,A72,Current_Year_TB!F:F)</f>
        <v/>
      </c>
      <c r="I72" s="4">
        <f>H72-G72</f>
        <v/>
      </c>
      <c r="J72" s="5">
        <f>IFERROR(I72/ABS(G72),"")</f>
        <v/>
      </c>
      <c r="K72" s="2" t="inlineStr">
        <is>
          <t>Increase</t>
        </is>
      </c>
      <c r="L72" s="2" t="inlineStr">
        <is>
          <t>No</t>
        </is>
      </c>
      <c r="M72" s="2" t="inlineStr"/>
      <c r="N72" s="3" t="inlineStr"/>
      <c r="O72" s="3" t="inlineStr">
        <is>
          <t>Current-year balance increased by $10,471 compared with prior year.</t>
        </is>
      </c>
    </row>
    <row r="73">
      <c r="A73" s="2" t="inlineStr">
        <is>
          <t>2021</t>
        </is>
      </c>
      <c r="B73" s="2" t="n">
        <v>72</v>
      </c>
      <c r="C73" s="2" t="inlineStr">
        <is>
          <t>2021</t>
        </is>
      </c>
      <c r="D73" s="2" t="inlineStr">
        <is>
          <t>Accounts Payable - Ops</t>
        </is>
      </c>
      <c r="E73" s="2" t="inlineStr">
        <is>
          <t>Liabilities</t>
        </is>
      </c>
      <c r="F73" s="2" t="inlineStr">
        <is>
          <t>Ops</t>
        </is>
      </c>
      <c r="G73" s="4">
        <f>SUMIF(Prior_Year_TB!A:A,A73,Prior_Year_TB!F:F)</f>
        <v/>
      </c>
      <c r="H73" s="4">
        <f>SUMIF(Current_Year_TB!A:A,A73,Current_Year_TB!F:F)</f>
        <v/>
      </c>
      <c r="I73" s="4">
        <f>H73-G73</f>
        <v/>
      </c>
      <c r="J73" s="5">
        <f>IFERROR(I73/ABS(G73),"")</f>
        <v/>
      </c>
      <c r="K73" s="2" t="inlineStr">
        <is>
          <t>Increase</t>
        </is>
      </c>
      <c r="L73" s="2" t="inlineStr">
        <is>
          <t>No</t>
        </is>
      </c>
      <c r="M73" s="2" t="inlineStr"/>
      <c r="N73" s="3" t="inlineStr"/>
      <c r="O73" s="3" t="inlineStr">
        <is>
          <t>Current-year balance increased by $10,139 compared with prior year.</t>
        </is>
      </c>
    </row>
    <row r="74">
      <c r="A74" s="2" t="inlineStr">
        <is>
          <t>3214</t>
        </is>
      </c>
      <c r="B74" s="2" t="n">
        <v>73</v>
      </c>
      <c r="C74" s="2" t="inlineStr">
        <is>
          <t>3214</t>
        </is>
      </c>
      <c r="D74" s="2" t="inlineStr">
        <is>
          <t>Distributions - Ops</t>
        </is>
      </c>
      <c r="E74" s="2" t="inlineStr">
        <is>
          <t>Equity</t>
        </is>
      </c>
      <c r="F74" s="2" t="inlineStr">
        <is>
          <t>Ops</t>
        </is>
      </c>
      <c r="G74" s="4">
        <f>SUMIF(Prior_Year_TB!A:A,A74,Prior_Year_TB!F:F)</f>
        <v/>
      </c>
      <c r="H74" s="4">
        <f>SUMIF(Current_Year_TB!A:A,A74,Current_Year_TB!F:F)</f>
        <v/>
      </c>
      <c r="I74" s="4">
        <f>H74-G74</f>
        <v/>
      </c>
      <c r="J74" s="5">
        <f>IFERROR(I74/ABS(G74),"")</f>
        <v/>
      </c>
      <c r="K74" s="2" t="inlineStr">
        <is>
          <t>Increase</t>
        </is>
      </c>
      <c r="L74" s="2" t="inlineStr">
        <is>
          <t>No</t>
        </is>
      </c>
      <c r="M74" s="2" t="inlineStr"/>
      <c r="N74" s="3" t="inlineStr"/>
      <c r="O74" s="3" t="inlineStr">
        <is>
          <t>Current-year balance increased by $10,012 compared with prior year.</t>
        </is>
      </c>
    </row>
    <row r="75">
      <c r="A75" s="2" t="inlineStr">
        <is>
          <t>6395</t>
        </is>
      </c>
      <c r="B75" s="2" t="n">
        <v>74</v>
      </c>
      <c r="C75" s="2" t="inlineStr">
        <is>
          <t>6395</t>
        </is>
      </c>
      <c r="D75" s="2" t="inlineStr">
        <is>
          <t>Repairs - Admin</t>
        </is>
      </c>
      <c r="E75" s="2" t="inlineStr">
        <is>
          <t>Operating Expenses</t>
        </is>
      </c>
      <c r="F75" s="2" t="inlineStr">
        <is>
          <t>Admin</t>
        </is>
      </c>
      <c r="G75" s="4">
        <f>SUMIF(Prior_Year_TB!A:A,A75,Prior_Year_TB!F:F)</f>
        <v/>
      </c>
      <c r="H75" s="4">
        <f>SUMIF(Current_Year_TB!A:A,A75,Current_Year_TB!F:F)</f>
        <v/>
      </c>
      <c r="I75" s="4">
        <f>H75-G75</f>
        <v/>
      </c>
      <c r="J75" s="5">
        <f>IFERROR(I75/ABS(G75),"")</f>
        <v/>
      </c>
      <c r="K75" s="2" t="inlineStr">
        <is>
          <t>Increase</t>
        </is>
      </c>
      <c r="L75" s="2" t="inlineStr">
        <is>
          <t>No</t>
        </is>
      </c>
      <c r="M75" s="2" t="inlineStr"/>
      <c r="N75" s="3" t="inlineStr"/>
      <c r="O75" s="3" t="inlineStr">
        <is>
          <t>Current-year balance increased by $9,958 compared with prior year.</t>
        </is>
      </c>
    </row>
    <row r="76">
      <c r="A76" s="2" t="inlineStr">
        <is>
          <t>1121</t>
        </is>
      </c>
      <c r="B76" s="2" t="n">
        <v>75</v>
      </c>
      <c r="C76" s="2" t="inlineStr">
        <is>
          <t>1121</t>
        </is>
      </c>
      <c r="D76" s="2" t="inlineStr">
        <is>
          <t>Inventory - Ops</t>
        </is>
      </c>
      <c r="E76" s="2" t="inlineStr">
        <is>
          <t>Assets</t>
        </is>
      </c>
      <c r="F76" s="2" t="inlineStr">
        <is>
          <t>Ops</t>
        </is>
      </c>
      <c r="G76" s="4">
        <f>SUMIF(Prior_Year_TB!A:A,A76,Prior_Year_TB!F:F)</f>
        <v/>
      </c>
      <c r="H76" s="4">
        <f>SUMIF(Current_Year_TB!A:A,A76,Current_Year_TB!F:F)</f>
        <v/>
      </c>
      <c r="I76" s="4">
        <f>H76-G76</f>
        <v/>
      </c>
      <c r="J76" s="5">
        <f>IFERROR(I76/ABS(G76),"")</f>
        <v/>
      </c>
      <c r="K76" s="2" t="inlineStr">
        <is>
          <t>Increase</t>
        </is>
      </c>
      <c r="L76" s="2" t="inlineStr">
        <is>
          <t>No</t>
        </is>
      </c>
      <c r="M76" s="2" t="inlineStr"/>
      <c r="N76" s="3" t="inlineStr"/>
      <c r="O76" s="3" t="inlineStr">
        <is>
          <t>Current-year balance increased by $9,957 compared with prior year.</t>
        </is>
      </c>
    </row>
    <row r="77">
      <c r="A77" s="2" t="inlineStr">
        <is>
          <t>6384</t>
        </is>
      </c>
      <c r="B77" s="2" t="n">
        <v>76</v>
      </c>
      <c r="C77" s="2" t="inlineStr">
        <is>
          <t>6384</t>
        </is>
      </c>
      <c r="D77" s="2" t="inlineStr">
        <is>
          <t>Repairs - Ops</t>
        </is>
      </c>
      <c r="E77" s="2" t="inlineStr">
        <is>
          <t>Operating Expenses</t>
        </is>
      </c>
      <c r="F77" s="2" t="inlineStr">
        <is>
          <t>Ops</t>
        </is>
      </c>
      <c r="G77" s="4">
        <f>SUMIF(Prior_Year_TB!A:A,A77,Prior_Year_TB!F:F)</f>
        <v/>
      </c>
      <c r="H77" s="4">
        <f>SUMIF(Current_Year_TB!A:A,A77,Current_Year_TB!F:F)</f>
        <v/>
      </c>
      <c r="I77" s="4">
        <f>H77-G77</f>
        <v/>
      </c>
      <c r="J77" s="5">
        <f>IFERROR(I77/ABS(G77),"")</f>
        <v/>
      </c>
      <c r="K77" s="2" t="inlineStr">
        <is>
          <t>Increase</t>
        </is>
      </c>
      <c r="L77" s="2" t="inlineStr">
        <is>
          <t>No</t>
        </is>
      </c>
      <c r="M77" s="2" t="inlineStr"/>
      <c r="N77" s="3" t="inlineStr"/>
      <c r="O77" s="3" t="inlineStr">
        <is>
          <t>Current-year balance increased by $9,953 compared with prior year.</t>
        </is>
      </c>
    </row>
    <row r="78">
      <c r="A78" s="2" t="inlineStr">
        <is>
          <t>4374</t>
        </is>
      </c>
      <c r="B78" s="2" t="n">
        <v>77</v>
      </c>
      <c r="C78" s="2" t="inlineStr">
        <is>
          <t>4374</t>
        </is>
      </c>
      <c r="D78" s="2" t="inlineStr">
        <is>
          <t>Discounts - Corporate</t>
        </is>
      </c>
      <c r="E78" s="2" t="inlineStr">
        <is>
          <t>Revenue</t>
        </is>
      </c>
      <c r="F78" s="2" t="inlineStr">
        <is>
          <t>Corporate</t>
        </is>
      </c>
      <c r="G78" s="4">
        <f>SUMIF(Prior_Year_TB!A:A,A78,Prior_Year_TB!F:F)</f>
        <v/>
      </c>
      <c r="H78" s="4">
        <f>SUMIF(Current_Year_TB!A:A,A78,Current_Year_TB!F:F)</f>
        <v/>
      </c>
      <c r="I78" s="4">
        <f>H78-G78</f>
        <v/>
      </c>
      <c r="J78" s="5">
        <f>IFERROR(I78/ABS(G78),"")</f>
        <v/>
      </c>
      <c r="K78" s="2" t="inlineStr">
        <is>
          <t>Decrease</t>
        </is>
      </c>
      <c r="L78" s="2" t="inlineStr">
        <is>
          <t>No</t>
        </is>
      </c>
      <c r="M78" s="2" t="inlineStr"/>
      <c r="N78" s="3" t="inlineStr"/>
      <c r="O78" s="3" t="inlineStr">
        <is>
          <t>Current-year balance decreased by $9,692 compared with prior year.</t>
        </is>
      </c>
    </row>
    <row r="79">
      <c r="A79" s="2" t="inlineStr">
        <is>
          <t>4013</t>
        </is>
      </c>
      <c r="B79" s="2" t="n">
        <v>78</v>
      </c>
      <c r="C79" s="2" t="inlineStr">
        <is>
          <t>4013</t>
        </is>
      </c>
      <c r="D79" s="2" t="inlineStr">
        <is>
          <t>Other Income - IT</t>
        </is>
      </c>
      <c r="E79" s="2" t="inlineStr">
        <is>
          <t>Revenue</t>
        </is>
      </c>
      <c r="F79" s="2" t="inlineStr">
        <is>
          <t>IT</t>
        </is>
      </c>
      <c r="G79" s="4">
        <f>SUMIF(Prior_Year_TB!A:A,A79,Prior_Year_TB!F:F)</f>
        <v/>
      </c>
      <c r="H79" s="4">
        <f>SUMIF(Current_Year_TB!A:A,A79,Current_Year_TB!F:F)</f>
        <v/>
      </c>
      <c r="I79" s="4">
        <f>H79-G79</f>
        <v/>
      </c>
      <c r="J79" s="5">
        <f>IFERROR(I79/ABS(G79),"")</f>
        <v/>
      </c>
      <c r="K79" s="2" t="inlineStr">
        <is>
          <t>Increase</t>
        </is>
      </c>
      <c r="L79" s="2" t="inlineStr">
        <is>
          <t>No</t>
        </is>
      </c>
      <c r="M79" s="2" t="inlineStr"/>
      <c r="N79" s="3" t="inlineStr"/>
      <c r="O79" s="3" t="inlineStr">
        <is>
          <t>Current-year balance increased by $9,687 compared with prior year.</t>
        </is>
      </c>
    </row>
    <row r="80">
      <c r="A80" s="2" t="inlineStr">
        <is>
          <t>5364</t>
        </is>
      </c>
      <c r="B80" s="2" t="n">
        <v>79</v>
      </c>
      <c r="C80" s="2" t="inlineStr">
        <is>
          <t>5364</t>
        </is>
      </c>
      <c r="D80" s="2" t="inlineStr">
        <is>
          <t>Labor - Warehouse</t>
        </is>
      </c>
      <c r="E80" s="2" t="inlineStr">
        <is>
          <t>COGS</t>
        </is>
      </c>
      <c r="F80" s="2" t="inlineStr">
        <is>
          <t>Warehouse</t>
        </is>
      </c>
      <c r="G80" s="4">
        <f>SUMIF(Prior_Year_TB!A:A,A80,Prior_Year_TB!F:F)</f>
        <v/>
      </c>
      <c r="H80" s="4">
        <f>SUMIF(Current_Year_TB!A:A,A80,Current_Year_TB!F:F)</f>
        <v/>
      </c>
      <c r="I80" s="4">
        <f>H80-G80</f>
        <v/>
      </c>
      <c r="J80" s="5">
        <f>IFERROR(I80/ABS(G80),"")</f>
        <v/>
      </c>
      <c r="K80" s="2" t="inlineStr">
        <is>
          <t>Increase</t>
        </is>
      </c>
      <c r="L80" s="2" t="inlineStr">
        <is>
          <t>No</t>
        </is>
      </c>
      <c r="M80" s="2" t="inlineStr"/>
      <c r="N80" s="3" t="inlineStr"/>
      <c r="O80" s="3" t="inlineStr">
        <is>
          <t>Current-year balance increased by $9,411 compared with prior year.</t>
        </is>
      </c>
    </row>
    <row r="81">
      <c r="A81" s="2" t="inlineStr">
        <is>
          <t>6405</t>
        </is>
      </c>
      <c r="B81" s="2" t="n">
        <v>80</v>
      </c>
      <c r="C81" s="2" t="inlineStr">
        <is>
          <t>6405</t>
        </is>
      </c>
      <c r="D81" s="2" t="inlineStr">
        <is>
          <t>Professional Fees - Ops</t>
        </is>
      </c>
      <c r="E81" s="2" t="inlineStr">
        <is>
          <t>Operating Expenses</t>
        </is>
      </c>
      <c r="F81" s="2" t="inlineStr">
        <is>
          <t>Ops</t>
        </is>
      </c>
      <c r="G81" s="4">
        <f>SUMIF(Prior_Year_TB!A:A,A81,Prior_Year_TB!F:F)</f>
        <v/>
      </c>
      <c r="H81" s="4">
        <f>SUMIF(Current_Year_TB!A:A,A81,Current_Year_TB!F:F)</f>
        <v/>
      </c>
      <c r="I81" s="4">
        <f>H81-G81</f>
        <v/>
      </c>
      <c r="J81" s="5">
        <f>IFERROR(I81/ABS(G81),"")</f>
        <v/>
      </c>
      <c r="K81" s="2" t="inlineStr">
        <is>
          <t>Decrease</t>
        </is>
      </c>
      <c r="L81" s="2" t="inlineStr">
        <is>
          <t>No</t>
        </is>
      </c>
      <c r="M81" s="2" t="inlineStr"/>
      <c r="N81" s="3" t="inlineStr"/>
      <c r="O81" s="3" t="inlineStr">
        <is>
          <t>Current-year balance decreased by $9,352 compared with prior year.</t>
        </is>
      </c>
    </row>
    <row r="82">
      <c r="A82" s="2" t="inlineStr">
        <is>
          <t>6442</t>
        </is>
      </c>
      <c r="B82" s="2" t="n">
        <v>81</v>
      </c>
      <c r="C82" s="2" t="inlineStr">
        <is>
          <t>6442</t>
        </is>
      </c>
      <c r="D82" s="2" t="inlineStr">
        <is>
          <t>Rent - Ops</t>
        </is>
      </c>
      <c r="E82" s="2" t="inlineStr">
        <is>
          <t>Operating Expenses</t>
        </is>
      </c>
      <c r="F82" s="2" t="inlineStr">
        <is>
          <t>Ops</t>
        </is>
      </c>
      <c r="G82" s="4">
        <f>SUMIF(Prior_Year_TB!A:A,A82,Prior_Year_TB!F:F)</f>
        <v/>
      </c>
      <c r="H82" s="4">
        <f>SUMIF(Current_Year_TB!A:A,A82,Current_Year_TB!F:F)</f>
        <v/>
      </c>
      <c r="I82" s="4">
        <f>H82-G82</f>
        <v/>
      </c>
      <c r="J82" s="5">
        <f>IFERROR(I82/ABS(G82),"")</f>
        <v/>
      </c>
      <c r="K82" s="2" t="inlineStr">
        <is>
          <t>Increase</t>
        </is>
      </c>
      <c r="L82" s="2" t="inlineStr">
        <is>
          <t>No</t>
        </is>
      </c>
      <c r="M82" s="2" t="inlineStr"/>
      <c r="N82" s="3" t="inlineStr"/>
      <c r="O82" s="3" t="inlineStr">
        <is>
          <t>Current-year balance increased by $9,332 compared with prior year.</t>
        </is>
      </c>
    </row>
    <row r="83">
      <c r="A83" s="2" t="inlineStr">
        <is>
          <t>6055</t>
        </is>
      </c>
      <c r="B83" s="2" t="n">
        <v>82</v>
      </c>
      <c r="C83" s="2" t="inlineStr">
        <is>
          <t>6055</t>
        </is>
      </c>
      <c r="D83" s="2" t="inlineStr">
        <is>
          <t>Software - Admin</t>
        </is>
      </c>
      <c r="E83" s="2" t="inlineStr">
        <is>
          <t>Operating Expenses</t>
        </is>
      </c>
      <c r="F83" s="2" t="inlineStr">
        <is>
          <t>Admin</t>
        </is>
      </c>
      <c r="G83" s="4">
        <f>SUMIF(Prior_Year_TB!A:A,A83,Prior_Year_TB!F:F)</f>
        <v/>
      </c>
      <c r="H83" s="4">
        <f>SUMIF(Current_Year_TB!A:A,A83,Current_Year_TB!F:F)</f>
        <v/>
      </c>
      <c r="I83" s="4">
        <f>H83-G83</f>
        <v/>
      </c>
      <c r="J83" s="5">
        <f>IFERROR(I83/ABS(G83),"")</f>
        <v/>
      </c>
      <c r="K83" s="2" t="inlineStr">
        <is>
          <t>Decrease</t>
        </is>
      </c>
      <c r="L83" s="2" t="inlineStr">
        <is>
          <t>No</t>
        </is>
      </c>
      <c r="M83" s="2" t="inlineStr"/>
      <c r="N83" s="3" t="inlineStr"/>
      <c r="O83" s="3" t="inlineStr">
        <is>
          <t>Current-year balance decreased by $8,904 compared with prior year.</t>
        </is>
      </c>
    </row>
    <row r="84">
      <c r="A84" s="2" t="inlineStr">
        <is>
          <t>5005</t>
        </is>
      </c>
      <c r="B84" s="2" t="n">
        <v>83</v>
      </c>
      <c r="C84" s="2" t="inlineStr">
        <is>
          <t>5005</t>
        </is>
      </c>
      <c r="D84" s="2" t="inlineStr">
        <is>
          <t>Materials - Warehouse</t>
        </is>
      </c>
      <c r="E84" s="2" t="inlineStr">
        <is>
          <t>COGS</t>
        </is>
      </c>
      <c r="F84" s="2" t="inlineStr">
        <is>
          <t>Warehouse</t>
        </is>
      </c>
      <c r="G84" s="4">
        <f>SUMIF(Prior_Year_TB!A:A,A84,Prior_Year_TB!F:F)</f>
        <v/>
      </c>
      <c r="H84" s="4">
        <f>SUMIF(Current_Year_TB!A:A,A84,Current_Year_TB!F:F)</f>
        <v/>
      </c>
      <c r="I84" s="4">
        <f>H84-G84</f>
        <v/>
      </c>
      <c r="J84" s="5">
        <f>IFERROR(I84/ABS(G84),"")</f>
        <v/>
      </c>
      <c r="K84" s="2" t="inlineStr">
        <is>
          <t>Decrease</t>
        </is>
      </c>
      <c r="L84" s="2" t="inlineStr">
        <is>
          <t>No</t>
        </is>
      </c>
      <c r="M84" s="2" t="inlineStr"/>
      <c r="N84" s="3" t="inlineStr"/>
      <c r="O84" s="3" t="inlineStr">
        <is>
          <t>Current-year balance decreased by $8,502 compared with prior year.</t>
        </is>
      </c>
    </row>
    <row r="85">
      <c r="A85" s="2" t="inlineStr">
        <is>
          <t>6240</t>
        </is>
      </c>
      <c r="B85" s="2" t="n">
        <v>84</v>
      </c>
      <c r="C85" s="2" t="inlineStr">
        <is>
          <t>6240</t>
        </is>
      </c>
      <c r="D85" s="2" t="inlineStr">
        <is>
          <t>Marketing - Ops</t>
        </is>
      </c>
      <c r="E85" s="2" t="inlineStr">
        <is>
          <t>Operating Expenses</t>
        </is>
      </c>
      <c r="F85" s="2" t="inlineStr">
        <is>
          <t>Ops</t>
        </is>
      </c>
      <c r="G85" s="4">
        <f>SUMIF(Prior_Year_TB!A:A,A85,Prior_Year_TB!F:F)</f>
        <v/>
      </c>
      <c r="H85" s="4">
        <f>SUMIF(Current_Year_TB!A:A,A85,Current_Year_TB!F:F)</f>
        <v/>
      </c>
      <c r="I85" s="4">
        <f>H85-G85</f>
        <v/>
      </c>
      <c r="J85" s="5">
        <f>IFERROR(I85/ABS(G85),"")</f>
        <v/>
      </c>
      <c r="K85" s="2" t="inlineStr">
        <is>
          <t>Increase</t>
        </is>
      </c>
      <c r="L85" s="2" t="inlineStr">
        <is>
          <t>No</t>
        </is>
      </c>
      <c r="M85" s="2" t="inlineStr"/>
      <c r="N85" s="3" t="inlineStr"/>
      <c r="O85" s="3" t="inlineStr">
        <is>
          <t>Current-year balance increased by $8,417 compared with prior year.</t>
        </is>
      </c>
    </row>
    <row r="86">
      <c r="A86" s="2" t="inlineStr">
        <is>
          <t>5242</t>
        </is>
      </c>
      <c r="B86" s="2" t="n">
        <v>85</v>
      </c>
      <c r="C86" s="2" t="inlineStr">
        <is>
          <t>5242</t>
        </is>
      </c>
      <c r="D86" s="2" t="inlineStr">
        <is>
          <t>Freight In - Corporate</t>
        </is>
      </c>
      <c r="E86" s="2" t="inlineStr">
        <is>
          <t>COGS</t>
        </is>
      </c>
      <c r="F86" s="2" t="inlineStr">
        <is>
          <t>Corporate</t>
        </is>
      </c>
      <c r="G86" s="4">
        <f>SUMIF(Prior_Year_TB!A:A,A86,Prior_Year_TB!F:F)</f>
        <v/>
      </c>
      <c r="H86" s="4">
        <f>SUMIF(Current_Year_TB!A:A,A86,Current_Year_TB!F:F)</f>
        <v/>
      </c>
      <c r="I86" s="4">
        <f>H86-G86</f>
        <v/>
      </c>
      <c r="J86" s="5">
        <f>IFERROR(I86/ABS(G86),"")</f>
        <v/>
      </c>
      <c r="K86" s="2" t="inlineStr">
        <is>
          <t>Increase</t>
        </is>
      </c>
      <c r="L86" s="2" t="inlineStr">
        <is>
          <t>No</t>
        </is>
      </c>
      <c r="M86" s="2" t="inlineStr"/>
      <c r="N86" s="3" t="inlineStr"/>
      <c r="O86" s="3" t="inlineStr">
        <is>
          <t>Current-year balance increased by $8,363 compared with prior year.</t>
        </is>
      </c>
    </row>
    <row r="87">
      <c r="A87" s="2" t="inlineStr">
        <is>
          <t>6040</t>
        </is>
      </c>
      <c r="B87" s="2" t="n">
        <v>86</v>
      </c>
      <c r="C87" s="2" t="inlineStr">
        <is>
          <t>6040</t>
        </is>
      </c>
      <c r="D87" s="2" t="inlineStr">
        <is>
          <t>Office Supplies - Corporate</t>
        </is>
      </c>
      <c r="E87" s="2" t="inlineStr">
        <is>
          <t>Operating Expenses</t>
        </is>
      </c>
      <c r="F87" s="2" t="inlineStr">
        <is>
          <t>Corporate</t>
        </is>
      </c>
      <c r="G87" s="4">
        <f>SUMIF(Prior_Year_TB!A:A,A87,Prior_Year_TB!F:F)</f>
        <v/>
      </c>
      <c r="H87" s="4">
        <f>SUMIF(Current_Year_TB!A:A,A87,Current_Year_TB!F:F)</f>
        <v/>
      </c>
      <c r="I87" s="4">
        <f>H87-G87</f>
        <v/>
      </c>
      <c r="J87" s="5">
        <f>IFERROR(I87/ABS(G87),"")</f>
        <v/>
      </c>
      <c r="K87" s="2" t="inlineStr">
        <is>
          <t>Increase</t>
        </is>
      </c>
      <c r="L87" s="2" t="inlineStr">
        <is>
          <t>No</t>
        </is>
      </c>
      <c r="M87" s="2" t="inlineStr"/>
      <c r="N87" s="3" t="inlineStr"/>
      <c r="O87" s="3" t="inlineStr">
        <is>
          <t>Current-year balance increased by $8,325 compared with prior year.</t>
        </is>
      </c>
    </row>
    <row r="88">
      <c r="A88" s="2" t="inlineStr">
        <is>
          <t>4323</t>
        </is>
      </c>
      <c r="B88" s="2" t="n">
        <v>87</v>
      </c>
      <c r="C88" s="2" t="inlineStr">
        <is>
          <t>4323</t>
        </is>
      </c>
      <c r="D88" s="2" t="inlineStr">
        <is>
          <t>Other Income - Corporate</t>
        </is>
      </c>
      <c r="E88" s="2" t="inlineStr">
        <is>
          <t>Revenue</t>
        </is>
      </c>
      <c r="F88" s="2" t="inlineStr">
        <is>
          <t>Corporate</t>
        </is>
      </c>
      <c r="G88" s="4">
        <f>SUMIF(Prior_Year_TB!A:A,A88,Prior_Year_TB!F:F)</f>
        <v/>
      </c>
      <c r="H88" s="4">
        <f>SUMIF(Current_Year_TB!A:A,A88,Current_Year_TB!F:F)</f>
        <v/>
      </c>
      <c r="I88" s="4">
        <f>H88-G88</f>
        <v/>
      </c>
      <c r="J88" s="5">
        <f>IFERROR(I88/ABS(G88),"")</f>
        <v/>
      </c>
      <c r="K88" s="2" t="inlineStr">
        <is>
          <t>Decrease</t>
        </is>
      </c>
      <c r="L88" s="2" t="inlineStr">
        <is>
          <t>No</t>
        </is>
      </c>
      <c r="M88" s="2" t="inlineStr"/>
      <c r="N88" s="3" t="inlineStr"/>
      <c r="O88" s="3" t="inlineStr">
        <is>
          <t>Current-year balance decreased by $8,197 compared with prior year.</t>
        </is>
      </c>
    </row>
    <row r="89">
      <c r="A89" s="2" t="inlineStr">
        <is>
          <t>1162</t>
        </is>
      </c>
      <c r="B89" s="2" t="n">
        <v>88</v>
      </c>
      <c r="C89" s="2" t="inlineStr">
        <is>
          <t>1162</t>
        </is>
      </c>
      <c r="D89" s="2" t="inlineStr">
        <is>
          <t>Cash - Corporate</t>
        </is>
      </c>
      <c r="E89" s="2" t="inlineStr">
        <is>
          <t>Assets</t>
        </is>
      </c>
      <c r="F89" s="2" t="inlineStr">
        <is>
          <t>Corporate</t>
        </is>
      </c>
      <c r="G89" s="4">
        <f>SUMIF(Prior_Year_TB!A:A,A89,Prior_Year_TB!F:F)</f>
        <v/>
      </c>
      <c r="H89" s="4">
        <f>SUMIF(Current_Year_TB!A:A,A89,Current_Year_TB!F:F)</f>
        <v/>
      </c>
      <c r="I89" s="4">
        <f>H89-G89</f>
        <v/>
      </c>
      <c r="J89" s="5">
        <f>IFERROR(I89/ABS(G89),"")</f>
        <v/>
      </c>
      <c r="K89" s="2" t="inlineStr">
        <is>
          <t>Decrease</t>
        </is>
      </c>
      <c r="L89" s="2" t="inlineStr">
        <is>
          <t>No</t>
        </is>
      </c>
      <c r="M89" s="2" t="inlineStr"/>
      <c r="N89" s="3" t="inlineStr"/>
      <c r="O89" s="3" t="inlineStr">
        <is>
          <t>Current-year balance decreased by $8,182 compared with prior year.</t>
        </is>
      </c>
    </row>
    <row r="90">
      <c r="A90" s="2" t="inlineStr">
        <is>
          <t>5305</t>
        </is>
      </c>
      <c r="B90" s="2" t="n">
        <v>89</v>
      </c>
      <c r="C90" s="2" t="inlineStr">
        <is>
          <t>5305</t>
        </is>
      </c>
      <c r="D90" s="2" t="inlineStr">
        <is>
          <t>Materials - Ops</t>
        </is>
      </c>
      <c r="E90" s="2" t="inlineStr">
        <is>
          <t>COGS</t>
        </is>
      </c>
      <c r="F90" s="2" t="inlineStr">
        <is>
          <t>Ops</t>
        </is>
      </c>
      <c r="G90" s="4">
        <f>SUMIF(Prior_Year_TB!A:A,A90,Prior_Year_TB!F:F)</f>
        <v/>
      </c>
      <c r="H90" s="4">
        <f>SUMIF(Current_Year_TB!A:A,A90,Current_Year_TB!F:F)</f>
        <v/>
      </c>
      <c r="I90" s="4">
        <f>H90-G90</f>
        <v/>
      </c>
      <c r="J90" s="5">
        <f>IFERROR(I90/ABS(G90),"")</f>
        <v/>
      </c>
      <c r="K90" s="2" t="inlineStr">
        <is>
          <t>Increase</t>
        </is>
      </c>
      <c r="L90" s="2" t="inlineStr">
        <is>
          <t>No</t>
        </is>
      </c>
      <c r="M90" s="2" t="inlineStr"/>
      <c r="N90" s="3" t="inlineStr"/>
      <c r="O90" s="3" t="inlineStr">
        <is>
          <t>Current-year balance increased by $8,129 compared with prior year.</t>
        </is>
      </c>
    </row>
    <row r="91">
      <c r="A91" s="2" t="inlineStr">
        <is>
          <t>2124</t>
        </is>
      </c>
      <c r="B91" s="2" t="n">
        <v>90</v>
      </c>
      <c r="C91" s="2" t="inlineStr">
        <is>
          <t>2124</t>
        </is>
      </c>
      <c r="D91" s="2" t="inlineStr">
        <is>
          <t>Deferred Revenue - Sales</t>
        </is>
      </c>
      <c r="E91" s="2" t="inlineStr">
        <is>
          <t>Liabilities</t>
        </is>
      </c>
      <c r="F91" s="2" t="inlineStr">
        <is>
          <t>Sales</t>
        </is>
      </c>
      <c r="G91" s="4">
        <f>SUMIF(Prior_Year_TB!A:A,A91,Prior_Year_TB!F:F)</f>
        <v/>
      </c>
      <c r="H91" s="4">
        <f>SUMIF(Current_Year_TB!A:A,A91,Current_Year_TB!F:F)</f>
        <v/>
      </c>
      <c r="I91" s="4">
        <f>H91-G91</f>
        <v/>
      </c>
      <c r="J91" s="5">
        <f>IFERROR(I91/ABS(G91),"")</f>
        <v/>
      </c>
      <c r="K91" s="2" t="inlineStr">
        <is>
          <t>Decrease</t>
        </is>
      </c>
      <c r="L91" s="2" t="inlineStr">
        <is>
          <t>No</t>
        </is>
      </c>
      <c r="M91" s="2" t="inlineStr"/>
      <c r="N91" s="3" t="inlineStr"/>
      <c r="O91" s="3" t="inlineStr">
        <is>
          <t>Current-year balance decreased by $8,081 compared with prior year.</t>
        </is>
      </c>
    </row>
    <row r="92">
      <c r="A92" s="2" t="inlineStr">
        <is>
          <t>6203</t>
        </is>
      </c>
      <c r="B92" s="2" t="n">
        <v>91</v>
      </c>
      <c r="C92" s="2" t="inlineStr">
        <is>
          <t>6203</t>
        </is>
      </c>
      <c r="D92" s="2" t="inlineStr">
        <is>
          <t>Utilities - Sales</t>
        </is>
      </c>
      <c r="E92" s="2" t="inlineStr">
        <is>
          <t>Operating Expenses</t>
        </is>
      </c>
      <c r="F92" s="2" t="inlineStr">
        <is>
          <t>Sales</t>
        </is>
      </c>
      <c r="G92" s="4">
        <f>SUMIF(Prior_Year_TB!A:A,A92,Prior_Year_TB!F:F)</f>
        <v/>
      </c>
      <c r="H92" s="4">
        <f>SUMIF(Current_Year_TB!A:A,A92,Current_Year_TB!F:F)</f>
        <v/>
      </c>
      <c r="I92" s="4">
        <f>H92-G92</f>
        <v/>
      </c>
      <c r="J92" s="5">
        <f>IFERROR(I92/ABS(G92),"")</f>
        <v/>
      </c>
      <c r="K92" s="2" t="inlineStr">
        <is>
          <t>Increase</t>
        </is>
      </c>
      <c r="L92" s="2" t="inlineStr">
        <is>
          <t>No</t>
        </is>
      </c>
      <c r="M92" s="2" t="inlineStr"/>
      <c r="N92" s="3" t="inlineStr"/>
      <c r="O92" s="3" t="inlineStr">
        <is>
          <t>Current-year balance increased by $7,969 compared with prior year.</t>
        </is>
      </c>
    </row>
    <row r="93">
      <c r="A93" s="2" t="inlineStr">
        <is>
          <t>2041</t>
        </is>
      </c>
      <c r="B93" s="2" t="n">
        <v>92</v>
      </c>
      <c r="C93" s="2" t="inlineStr">
        <is>
          <t>2041</t>
        </is>
      </c>
      <c r="D93" s="2" t="inlineStr">
        <is>
          <t>Notes Payable - Ops</t>
        </is>
      </c>
      <c r="E93" s="2" t="inlineStr">
        <is>
          <t>Liabilities</t>
        </is>
      </c>
      <c r="F93" s="2" t="inlineStr">
        <is>
          <t>Ops</t>
        </is>
      </c>
      <c r="G93" s="4">
        <f>SUMIF(Prior_Year_TB!A:A,A93,Prior_Year_TB!F:F)</f>
        <v/>
      </c>
      <c r="H93" s="4">
        <f>SUMIF(Current_Year_TB!A:A,A93,Current_Year_TB!F:F)</f>
        <v/>
      </c>
      <c r="I93" s="4">
        <f>H93-G93</f>
        <v/>
      </c>
      <c r="J93" s="5">
        <f>IFERROR(I93/ABS(G93),"")</f>
        <v/>
      </c>
      <c r="K93" s="2" t="inlineStr">
        <is>
          <t>Decrease</t>
        </is>
      </c>
      <c r="L93" s="2" t="inlineStr">
        <is>
          <t>No</t>
        </is>
      </c>
      <c r="M93" s="2" t="inlineStr"/>
      <c r="N93" s="3" t="inlineStr"/>
      <c r="O93" s="3" t="inlineStr">
        <is>
          <t>Current-year balance decreased by $7,877 compared with prior year.</t>
        </is>
      </c>
    </row>
    <row r="94">
      <c r="A94" s="2" t="inlineStr">
        <is>
          <t>5410</t>
        </is>
      </c>
      <c r="B94" s="2" t="n">
        <v>93</v>
      </c>
      <c r="C94" s="2" t="inlineStr">
        <is>
          <t>5410</t>
        </is>
      </c>
      <c r="D94" s="2" t="inlineStr">
        <is>
          <t>Labor - Corporate</t>
        </is>
      </c>
      <c r="E94" s="2" t="inlineStr">
        <is>
          <t>COGS</t>
        </is>
      </c>
      <c r="F94" s="2" t="inlineStr">
        <is>
          <t>Corporate</t>
        </is>
      </c>
      <c r="G94" s="4">
        <f>SUMIF(Prior_Year_TB!A:A,A94,Prior_Year_TB!F:F)</f>
        <v/>
      </c>
      <c r="H94" s="4">
        <f>SUMIF(Current_Year_TB!A:A,A94,Current_Year_TB!F:F)</f>
        <v/>
      </c>
      <c r="I94" s="4">
        <f>H94-G94</f>
        <v/>
      </c>
      <c r="J94" s="5">
        <f>IFERROR(I94/ABS(G94),"")</f>
        <v/>
      </c>
      <c r="K94" s="2" t="inlineStr">
        <is>
          <t>Increase</t>
        </is>
      </c>
      <c r="L94" s="2" t="inlineStr">
        <is>
          <t>No</t>
        </is>
      </c>
      <c r="M94" s="2" t="inlineStr"/>
      <c r="N94" s="3" t="inlineStr"/>
      <c r="O94" s="3" t="inlineStr">
        <is>
          <t>Current-year balance increased by $7,864 compared with prior year.</t>
        </is>
      </c>
    </row>
    <row r="95">
      <c r="A95" s="2" t="inlineStr">
        <is>
          <t>3194</t>
        </is>
      </c>
      <c r="B95" s="2" t="n">
        <v>94</v>
      </c>
      <c r="C95" s="2" t="inlineStr">
        <is>
          <t>3194</t>
        </is>
      </c>
      <c r="D95" s="2" t="inlineStr">
        <is>
          <t>Common Stock - Corporate</t>
        </is>
      </c>
      <c r="E95" s="2" t="inlineStr">
        <is>
          <t>Equity</t>
        </is>
      </c>
      <c r="F95" s="2" t="inlineStr">
        <is>
          <t>Corporate</t>
        </is>
      </c>
      <c r="G95" s="4">
        <f>SUMIF(Prior_Year_TB!A:A,A95,Prior_Year_TB!F:F)</f>
        <v/>
      </c>
      <c r="H95" s="4">
        <f>SUMIF(Current_Year_TB!A:A,A95,Current_Year_TB!F:F)</f>
        <v/>
      </c>
      <c r="I95" s="4">
        <f>H95-G95</f>
        <v/>
      </c>
      <c r="J95" s="5">
        <f>IFERROR(I95/ABS(G95),"")</f>
        <v/>
      </c>
      <c r="K95" s="2" t="inlineStr">
        <is>
          <t>Decrease</t>
        </is>
      </c>
      <c r="L95" s="2" t="inlineStr">
        <is>
          <t>No</t>
        </is>
      </c>
      <c r="M95" s="2" t="inlineStr"/>
      <c r="N95" s="3" t="inlineStr"/>
      <c r="O95" s="3" t="inlineStr">
        <is>
          <t>Current-year balance decreased by $7,793 compared with prior year.</t>
        </is>
      </c>
    </row>
    <row r="96">
      <c r="A96" s="2" t="inlineStr">
        <is>
          <t>6030</t>
        </is>
      </c>
      <c r="B96" s="2" t="n">
        <v>95</v>
      </c>
      <c r="C96" s="2" t="inlineStr">
        <is>
          <t>6030</t>
        </is>
      </c>
      <c r="D96" s="2" t="inlineStr">
        <is>
          <t>Utilities - Sales</t>
        </is>
      </c>
      <c r="E96" s="2" t="inlineStr">
        <is>
          <t>Operating Expenses</t>
        </is>
      </c>
      <c r="F96" s="2" t="inlineStr">
        <is>
          <t>Sales</t>
        </is>
      </c>
      <c r="G96" s="4">
        <f>SUMIF(Prior_Year_TB!A:A,A96,Prior_Year_TB!F:F)</f>
        <v/>
      </c>
      <c r="H96" s="4">
        <f>SUMIF(Current_Year_TB!A:A,A96,Current_Year_TB!F:F)</f>
        <v/>
      </c>
      <c r="I96" s="4">
        <f>H96-G96</f>
        <v/>
      </c>
      <c r="J96" s="5">
        <f>IFERROR(I96/ABS(G96),"")</f>
        <v/>
      </c>
      <c r="K96" s="2" t="inlineStr">
        <is>
          <t>Increase</t>
        </is>
      </c>
      <c r="L96" s="2" t="inlineStr">
        <is>
          <t>No</t>
        </is>
      </c>
      <c r="M96" s="2" t="inlineStr"/>
      <c r="N96" s="3" t="inlineStr"/>
      <c r="O96" s="3" t="inlineStr">
        <is>
          <t>Current-year balance increased by $7,746 compared with prior year.</t>
        </is>
      </c>
    </row>
    <row r="97">
      <c r="A97" s="2" t="inlineStr">
        <is>
          <t>6270</t>
        </is>
      </c>
      <c r="B97" s="2" t="n">
        <v>96</v>
      </c>
      <c r="C97" s="2" t="inlineStr">
        <is>
          <t>6270</t>
        </is>
      </c>
      <c r="D97" s="2" t="inlineStr">
        <is>
          <t>Repairs - Sales</t>
        </is>
      </c>
      <c r="E97" s="2" t="inlineStr">
        <is>
          <t>Operating Expenses</t>
        </is>
      </c>
      <c r="F97" s="2" t="inlineStr">
        <is>
          <t>Sales</t>
        </is>
      </c>
      <c r="G97" s="4">
        <f>SUMIF(Prior_Year_TB!A:A,A97,Prior_Year_TB!F:F)</f>
        <v/>
      </c>
      <c r="H97" s="4">
        <f>SUMIF(Current_Year_TB!A:A,A97,Current_Year_TB!F:F)</f>
        <v/>
      </c>
      <c r="I97" s="4">
        <f>H97-G97</f>
        <v/>
      </c>
      <c r="J97" s="5">
        <f>IFERROR(I97/ABS(G97),"")</f>
        <v/>
      </c>
      <c r="K97" s="2" t="inlineStr">
        <is>
          <t>Decrease</t>
        </is>
      </c>
      <c r="L97" s="2" t="inlineStr">
        <is>
          <t>No</t>
        </is>
      </c>
      <c r="M97" s="2" t="inlineStr"/>
      <c r="N97" s="3" t="inlineStr"/>
      <c r="O97" s="3" t="inlineStr">
        <is>
          <t>Current-year balance decreased by $7,552 compared with prior year.</t>
        </is>
      </c>
    </row>
    <row r="98">
      <c r="A98" s="2" t="inlineStr">
        <is>
          <t>5015</t>
        </is>
      </c>
      <c r="B98" s="2" t="n">
        <v>97</v>
      </c>
      <c r="C98" s="2" t="inlineStr">
        <is>
          <t>5015</t>
        </is>
      </c>
      <c r="D98" s="2" t="inlineStr">
        <is>
          <t>Freight In - Ops</t>
        </is>
      </c>
      <c r="E98" s="2" t="inlineStr">
        <is>
          <t>COGS</t>
        </is>
      </c>
      <c r="F98" s="2" t="inlineStr">
        <is>
          <t>Ops</t>
        </is>
      </c>
      <c r="G98" s="4">
        <f>SUMIF(Prior_Year_TB!A:A,A98,Prior_Year_TB!F:F)</f>
        <v/>
      </c>
      <c r="H98" s="4">
        <f>SUMIF(Current_Year_TB!A:A,A98,Current_Year_TB!F:F)</f>
        <v/>
      </c>
      <c r="I98" s="4">
        <f>H98-G98</f>
        <v/>
      </c>
      <c r="J98" s="5">
        <f>IFERROR(I98/ABS(G98),"")</f>
        <v/>
      </c>
      <c r="K98" s="2" t="inlineStr">
        <is>
          <t>Increase</t>
        </is>
      </c>
      <c r="L98" s="2" t="inlineStr">
        <is>
          <t>No</t>
        </is>
      </c>
      <c r="M98" s="2" t="inlineStr"/>
      <c r="N98" s="3" t="inlineStr"/>
      <c r="O98" s="3" t="inlineStr">
        <is>
          <t>Current-year balance increased by $7,493 compared with prior year.</t>
        </is>
      </c>
    </row>
    <row r="99">
      <c r="A99" s="2" t="inlineStr">
        <is>
          <t>6253</t>
        </is>
      </c>
      <c r="B99" s="2" t="n">
        <v>98</v>
      </c>
      <c r="C99" s="2" t="inlineStr">
        <is>
          <t>6253</t>
        </is>
      </c>
      <c r="D99" s="2" t="inlineStr">
        <is>
          <t>Repairs - Corporate</t>
        </is>
      </c>
      <c r="E99" s="2" t="inlineStr">
        <is>
          <t>Operating Expenses</t>
        </is>
      </c>
      <c r="F99" s="2" t="inlineStr">
        <is>
          <t>Corporate</t>
        </is>
      </c>
      <c r="G99" s="4">
        <f>SUMIF(Prior_Year_TB!A:A,A99,Prior_Year_TB!F:F)</f>
        <v/>
      </c>
      <c r="H99" s="4">
        <f>SUMIF(Current_Year_TB!A:A,A99,Current_Year_TB!F:F)</f>
        <v/>
      </c>
      <c r="I99" s="4">
        <f>H99-G99</f>
        <v/>
      </c>
      <c r="J99" s="5">
        <f>IFERROR(I99/ABS(G99),"")</f>
        <v/>
      </c>
      <c r="K99" s="2" t="inlineStr">
        <is>
          <t>Increase</t>
        </is>
      </c>
      <c r="L99" s="2" t="inlineStr">
        <is>
          <t>No</t>
        </is>
      </c>
      <c r="M99" s="2" t="inlineStr"/>
      <c r="N99" s="3" t="inlineStr"/>
      <c r="O99" s="3" t="inlineStr">
        <is>
          <t>Current-year balance increased by $7,407 compared with prior year.</t>
        </is>
      </c>
    </row>
    <row r="100">
      <c r="A100" s="2" t="inlineStr">
        <is>
          <t>4283</t>
        </is>
      </c>
      <c r="B100" s="2" t="n">
        <v>99</v>
      </c>
      <c r="C100" s="2" t="inlineStr">
        <is>
          <t>4283</t>
        </is>
      </c>
      <c r="D100" s="2" t="inlineStr">
        <is>
          <t>Returns and Allowances - Corporate</t>
        </is>
      </c>
      <c r="E100" s="2" t="inlineStr">
        <is>
          <t>Revenue</t>
        </is>
      </c>
      <c r="F100" s="2" t="inlineStr">
        <is>
          <t>Corporate</t>
        </is>
      </c>
      <c r="G100" s="4">
        <f>SUMIF(Prior_Year_TB!A:A,A100,Prior_Year_TB!F:F)</f>
        <v/>
      </c>
      <c r="H100" s="4">
        <f>SUMIF(Current_Year_TB!A:A,A100,Current_Year_TB!F:F)</f>
        <v/>
      </c>
      <c r="I100" s="4">
        <f>H100-G100</f>
        <v/>
      </c>
      <c r="J100" s="5">
        <f>IFERROR(I100/ABS(G100),"")</f>
        <v/>
      </c>
      <c r="K100" s="2" t="inlineStr">
        <is>
          <t>Increase</t>
        </is>
      </c>
      <c r="L100" s="2" t="inlineStr">
        <is>
          <t>No</t>
        </is>
      </c>
      <c r="M100" s="2" t="inlineStr"/>
      <c r="N100" s="3" t="inlineStr"/>
      <c r="O100" s="3" t="inlineStr">
        <is>
          <t>Current-year balance increased by $7,189 compared with prior year.</t>
        </is>
      </c>
    </row>
    <row r="101">
      <c r="A101" s="2" t="inlineStr">
        <is>
          <t>4253</t>
        </is>
      </c>
      <c r="B101" s="2" t="n">
        <v>100</v>
      </c>
      <c r="C101" s="2" t="inlineStr">
        <is>
          <t>4253</t>
        </is>
      </c>
      <c r="D101" s="2" t="inlineStr">
        <is>
          <t>Returns and Allowances - Corporate</t>
        </is>
      </c>
      <c r="E101" s="2" t="inlineStr">
        <is>
          <t>Revenue</t>
        </is>
      </c>
      <c r="F101" s="2" t="inlineStr">
        <is>
          <t>Corporate</t>
        </is>
      </c>
      <c r="G101" s="4">
        <f>SUMIF(Prior_Year_TB!A:A,A101,Prior_Year_TB!F:F)</f>
        <v/>
      </c>
      <c r="H101" s="4">
        <f>SUMIF(Current_Year_TB!A:A,A101,Current_Year_TB!F:F)</f>
        <v/>
      </c>
      <c r="I101" s="4">
        <f>H101-G101</f>
        <v/>
      </c>
      <c r="J101" s="5">
        <f>IFERROR(I101/ABS(G101),"")</f>
        <v/>
      </c>
      <c r="K101" s="2" t="inlineStr">
        <is>
          <t>Decrease</t>
        </is>
      </c>
      <c r="L101" s="2" t="inlineStr">
        <is>
          <t>No</t>
        </is>
      </c>
      <c r="M101" s="2" t="inlineStr"/>
      <c r="N101" s="3" t="inlineStr"/>
      <c r="O101" s="3" t="inlineStr">
        <is>
          <t>Current-year balance decreased by $7,160 compared with prior year.</t>
        </is>
      </c>
    </row>
    <row r="102">
      <c r="A102" s="2" t="inlineStr">
        <is>
          <t>6323</t>
        </is>
      </c>
      <c r="B102" s="2" t="n">
        <v>101</v>
      </c>
      <c r="C102" s="2" t="inlineStr">
        <is>
          <t>6323</t>
        </is>
      </c>
      <c r="D102" s="2" t="inlineStr">
        <is>
          <t>Utilities - Corporate</t>
        </is>
      </c>
      <c r="E102" s="2" t="inlineStr">
        <is>
          <t>Operating Expenses</t>
        </is>
      </c>
      <c r="F102" s="2" t="inlineStr">
        <is>
          <t>Corporate</t>
        </is>
      </c>
      <c r="G102" s="4">
        <f>SUMIF(Prior_Year_TB!A:A,A102,Prior_Year_TB!F:F)</f>
        <v/>
      </c>
      <c r="H102" s="4">
        <f>SUMIF(Current_Year_TB!A:A,A102,Current_Year_TB!F:F)</f>
        <v/>
      </c>
      <c r="I102" s="4">
        <f>H102-G102</f>
        <v/>
      </c>
      <c r="J102" s="5">
        <f>IFERROR(I102/ABS(G102),"")</f>
        <v/>
      </c>
      <c r="K102" s="2" t="inlineStr">
        <is>
          <t>Increase</t>
        </is>
      </c>
      <c r="L102" s="2" t="inlineStr">
        <is>
          <t>No</t>
        </is>
      </c>
      <c r="M102" s="2" t="inlineStr"/>
      <c r="N102" s="3" t="inlineStr"/>
      <c r="O102" s="3" t="inlineStr">
        <is>
          <t>Current-year balance increased by $7,140 compared with prior year.</t>
        </is>
      </c>
    </row>
    <row r="103">
      <c r="A103" s="2" t="inlineStr">
        <is>
          <t>6093</t>
        </is>
      </c>
      <c r="B103" s="2" t="n">
        <v>102</v>
      </c>
      <c r="C103" s="2" t="inlineStr">
        <is>
          <t>6093</t>
        </is>
      </c>
      <c r="D103" s="2" t="inlineStr">
        <is>
          <t>Repairs - Admin</t>
        </is>
      </c>
      <c r="E103" s="2" t="inlineStr">
        <is>
          <t>Operating Expenses</t>
        </is>
      </c>
      <c r="F103" s="2" t="inlineStr">
        <is>
          <t>Admin</t>
        </is>
      </c>
      <c r="G103" s="4">
        <f>SUMIF(Prior_Year_TB!A:A,A103,Prior_Year_TB!F:F)</f>
        <v/>
      </c>
      <c r="H103" s="4">
        <f>SUMIF(Current_Year_TB!A:A,A103,Current_Year_TB!F:F)</f>
        <v/>
      </c>
      <c r="I103" s="4">
        <f>H103-G103</f>
        <v/>
      </c>
      <c r="J103" s="5">
        <f>IFERROR(I103/ABS(G103),"")</f>
        <v/>
      </c>
      <c r="K103" s="2" t="inlineStr">
        <is>
          <t>Increase</t>
        </is>
      </c>
      <c r="L103" s="2" t="inlineStr">
        <is>
          <t>No</t>
        </is>
      </c>
      <c r="M103" s="2" t="inlineStr"/>
      <c r="N103" s="3" t="inlineStr"/>
      <c r="O103" s="3" t="inlineStr">
        <is>
          <t>Current-year balance increased by $6,974 compared with prior year.</t>
        </is>
      </c>
    </row>
    <row r="104">
      <c r="A104" s="2" t="inlineStr">
        <is>
          <t>1010</t>
        </is>
      </c>
      <c r="B104" s="2" t="n">
        <v>103</v>
      </c>
      <c r="C104" s="2" t="inlineStr">
        <is>
          <t>1010</t>
        </is>
      </c>
      <c r="D104" s="2" t="inlineStr">
        <is>
          <t>Fixed Assets - IT</t>
        </is>
      </c>
      <c r="E104" s="2" t="inlineStr">
        <is>
          <t>Assets</t>
        </is>
      </c>
      <c r="F104" s="2" t="inlineStr">
        <is>
          <t>IT</t>
        </is>
      </c>
      <c r="G104" s="4">
        <f>SUMIF(Prior_Year_TB!A:A,A104,Prior_Year_TB!F:F)</f>
        <v/>
      </c>
      <c r="H104" s="4">
        <f>SUMIF(Current_Year_TB!A:A,A104,Current_Year_TB!F:F)</f>
        <v/>
      </c>
      <c r="I104" s="4">
        <f>H104-G104</f>
        <v/>
      </c>
      <c r="J104" s="5">
        <f>IFERROR(I104/ABS(G104),"")</f>
        <v/>
      </c>
      <c r="K104" s="2" t="inlineStr">
        <is>
          <t>Decrease</t>
        </is>
      </c>
      <c r="L104" s="2" t="inlineStr">
        <is>
          <t>No</t>
        </is>
      </c>
      <c r="M104" s="2" t="inlineStr"/>
      <c r="N104" s="3" t="inlineStr"/>
      <c r="O104" s="3" t="inlineStr">
        <is>
          <t>Current-year balance decreased by $6,805 compared with prior year.</t>
        </is>
      </c>
    </row>
    <row r="105">
      <c r="A105" s="2" t="inlineStr">
        <is>
          <t>6121</t>
        </is>
      </c>
      <c r="B105" s="2" t="n">
        <v>104</v>
      </c>
      <c r="C105" s="2" t="inlineStr">
        <is>
          <t>6121</t>
        </is>
      </c>
      <c r="D105" s="2" t="inlineStr">
        <is>
          <t>Software - IT</t>
        </is>
      </c>
      <c r="E105" s="2" t="inlineStr">
        <is>
          <t>Operating Expenses</t>
        </is>
      </c>
      <c r="F105" s="2" t="inlineStr">
        <is>
          <t>IT</t>
        </is>
      </c>
      <c r="G105" s="4">
        <f>SUMIF(Prior_Year_TB!A:A,A105,Prior_Year_TB!F:F)</f>
        <v/>
      </c>
      <c r="H105" s="4">
        <f>SUMIF(Current_Year_TB!A:A,A105,Current_Year_TB!F:F)</f>
        <v/>
      </c>
      <c r="I105" s="4">
        <f>H105-G105</f>
        <v/>
      </c>
      <c r="J105" s="5">
        <f>IFERROR(I105/ABS(G105),"")</f>
        <v/>
      </c>
      <c r="K105" s="2" t="inlineStr">
        <is>
          <t>Increase</t>
        </is>
      </c>
      <c r="L105" s="2" t="inlineStr">
        <is>
          <t>No</t>
        </is>
      </c>
      <c r="M105" s="2" t="inlineStr"/>
      <c r="N105" s="3" t="inlineStr"/>
      <c r="O105" s="3" t="inlineStr">
        <is>
          <t>Current-year balance increased by $6,770 compared with prior year.</t>
        </is>
      </c>
    </row>
    <row r="106">
      <c r="A106" s="2" t="inlineStr">
        <is>
          <t>7154</t>
        </is>
      </c>
      <c r="B106" s="2" t="n">
        <v>105</v>
      </c>
      <c r="C106" s="2" t="inlineStr">
        <is>
          <t>7154</t>
        </is>
      </c>
      <c r="D106" s="2" t="inlineStr">
        <is>
          <t>Bank Fees - Sales</t>
        </is>
      </c>
      <c r="E106" s="2" t="inlineStr">
        <is>
          <t>Other Expense</t>
        </is>
      </c>
      <c r="F106" s="2" t="inlineStr">
        <is>
          <t>Sales</t>
        </is>
      </c>
      <c r="G106" s="4">
        <f>SUMIF(Prior_Year_TB!A:A,A106,Prior_Year_TB!F:F)</f>
        <v/>
      </c>
      <c r="H106" s="4">
        <f>SUMIF(Current_Year_TB!A:A,A106,Current_Year_TB!F:F)</f>
        <v/>
      </c>
      <c r="I106" s="4">
        <f>H106-G106</f>
        <v/>
      </c>
      <c r="J106" s="5">
        <f>IFERROR(I106/ABS(G106),"")</f>
        <v/>
      </c>
      <c r="K106" s="2" t="inlineStr">
        <is>
          <t>Increase</t>
        </is>
      </c>
      <c r="L106" s="2" t="inlineStr">
        <is>
          <t>No</t>
        </is>
      </c>
      <c r="M106" s="2" t="inlineStr"/>
      <c r="N106" s="3" t="inlineStr"/>
      <c r="O106" s="3" t="inlineStr">
        <is>
          <t>Current-year balance increased by $6,710 compared with prior year.</t>
        </is>
      </c>
    </row>
    <row r="107">
      <c r="A107" s="2" t="inlineStr">
        <is>
          <t>5020</t>
        </is>
      </c>
      <c r="B107" s="2" t="n">
        <v>106</v>
      </c>
      <c r="C107" s="2" t="inlineStr">
        <is>
          <t>5020</t>
        </is>
      </c>
      <c r="D107" s="2" t="inlineStr">
        <is>
          <t>Labor - Corporate</t>
        </is>
      </c>
      <c r="E107" s="2" t="inlineStr">
        <is>
          <t>COGS</t>
        </is>
      </c>
      <c r="F107" s="2" t="inlineStr">
        <is>
          <t>Corporate</t>
        </is>
      </c>
      <c r="G107" s="4">
        <f>SUMIF(Prior_Year_TB!A:A,A107,Prior_Year_TB!F:F)</f>
        <v/>
      </c>
      <c r="H107" s="4">
        <f>SUMIF(Current_Year_TB!A:A,A107,Current_Year_TB!F:F)</f>
        <v/>
      </c>
      <c r="I107" s="4">
        <f>H107-G107</f>
        <v/>
      </c>
      <c r="J107" s="5">
        <f>IFERROR(I107/ABS(G107),"")</f>
        <v/>
      </c>
      <c r="K107" s="2" t="inlineStr">
        <is>
          <t>Decrease</t>
        </is>
      </c>
      <c r="L107" s="2" t="inlineStr">
        <is>
          <t>No</t>
        </is>
      </c>
      <c r="M107" s="2" t="inlineStr"/>
      <c r="N107" s="3" t="inlineStr"/>
      <c r="O107" s="3" t="inlineStr">
        <is>
          <t>Current-year balance decreased by $6,557 compared with prior year.</t>
        </is>
      </c>
    </row>
    <row r="108">
      <c r="A108" s="2" t="inlineStr">
        <is>
          <t>5295</t>
        </is>
      </c>
      <c r="B108" s="2" t="n">
        <v>107</v>
      </c>
      <c r="C108" s="2" t="inlineStr">
        <is>
          <t>5295</t>
        </is>
      </c>
      <c r="D108" s="2" t="inlineStr">
        <is>
          <t>Labor - Sales</t>
        </is>
      </c>
      <c r="E108" s="2" t="inlineStr">
        <is>
          <t>COGS</t>
        </is>
      </c>
      <c r="F108" s="2" t="inlineStr">
        <is>
          <t>Sales</t>
        </is>
      </c>
      <c r="G108" s="4">
        <f>SUMIF(Prior_Year_TB!A:A,A108,Prior_Year_TB!F:F)</f>
        <v/>
      </c>
      <c r="H108" s="4">
        <f>SUMIF(Current_Year_TB!A:A,A108,Current_Year_TB!F:F)</f>
        <v/>
      </c>
      <c r="I108" s="4">
        <f>H108-G108</f>
        <v/>
      </c>
      <c r="J108" s="5">
        <f>IFERROR(I108/ABS(G108),"")</f>
        <v/>
      </c>
      <c r="K108" s="2" t="inlineStr">
        <is>
          <t>Decrease</t>
        </is>
      </c>
      <c r="L108" s="2" t="inlineStr">
        <is>
          <t>No</t>
        </is>
      </c>
      <c r="M108" s="2" t="inlineStr"/>
      <c r="N108" s="3" t="inlineStr"/>
      <c r="O108" s="3" t="inlineStr">
        <is>
          <t>Current-year balance decreased by $6,418 compared with prior year.</t>
        </is>
      </c>
    </row>
    <row r="109">
      <c r="A109" s="2" t="inlineStr">
        <is>
          <t>2150</t>
        </is>
      </c>
      <c r="B109" s="2" t="n">
        <v>108</v>
      </c>
      <c r="C109" s="2" t="inlineStr">
        <is>
          <t>2150</t>
        </is>
      </c>
      <c r="D109" s="2" t="inlineStr">
        <is>
          <t>Accrued Expense - Warehouse</t>
        </is>
      </c>
      <c r="E109" s="2" t="inlineStr">
        <is>
          <t>Liabilities</t>
        </is>
      </c>
      <c r="F109" s="2" t="inlineStr">
        <is>
          <t>Warehouse</t>
        </is>
      </c>
      <c r="G109" s="4">
        <f>SUMIF(Prior_Year_TB!A:A,A109,Prior_Year_TB!F:F)</f>
        <v/>
      </c>
      <c r="H109" s="4">
        <f>SUMIF(Current_Year_TB!A:A,A109,Current_Year_TB!F:F)</f>
        <v/>
      </c>
      <c r="I109" s="4">
        <f>H109-G109</f>
        <v/>
      </c>
      <c r="J109" s="5">
        <f>IFERROR(I109/ABS(G109),"")</f>
        <v/>
      </c>
      <c r="K109" s="2" t="inlineStr">
        <is>
          <t>Increase</t>
        </is>
      </c>
      <c r="L109" s="2" t="inlineStr">
        <is>
          <t>No</t>
        </is>
      </c>
      <c r="M109" s="2" t="inlineStr"/>
      <c r="N109" s="3" t="inlineStr"/>
      <c r="O109" s="3" t="inlineStr">
        <is>
          <t>Current-year balance increased by $6,396 compared with prior year.</t>
        </is>
      </c>
    </row>
    <row r="110">
      <c r="A110" s="2" t="inlineStr">
        <is>
          <t>1222</t>
        </is>
      </c>
      <c r="B110" s="2" t="n">
        <v>109</v>
      </c>
      <c r="C110" s="2" t="inlineStr">
        <is>
          <t>1222</t>
        </is>
      </c>
      <c r="D110" s="2" t="inlineStr">
        <is>
          <t>Fixed Assets - Ops</t>
        </is>
      </c>
      <c r="E110" s="2" t="inlineStr">
        <is>
          <t>Assets</t>
        </is>
      </c>
      <c r="F110" s="2" t="inlineStr">
        <is>
          <t>Ops</t>
        </is>
      </c>
      <c r="G110" s="4">
        <f>SUMIF(Prior_Year_TB!A:A,A110,Prior_Year_TB!F:F)</f>
        <v/>
      </c>
      <c r="H110" s="4">
        <f>SUMIF(Current_Year_TB!A:A,A110,Current_Year_TB!F:F)</f>
        <v/>
      </c>
      <c r="I110" s="4">
        <f>H110-G110</f>
        <v/>
      </c>
      <c r="J110" s="5">
        <f>IFERROR(I110/ABS(G110),"")</f>
        <v/>
      </c>
      <c r="K110" s="2" t="inlineStr">
        <is>
          <t>Increase</t>
        </is>
      </c>
      <c r="L110" s="2" t="inlineStr">
        <is>
          <t>No</t>
        </is>
      </c>
      <c r="M110" s="2" t="inlineStr"/>
      <c r="N110" s="3" t="inlineStr"/>
      <c r="O110" s="3" t="inlineStr">
        <is>
          <t>Current-year balance increased by $6,386 compared with prior year.</t>
        </is>
      </c>
    </row>
    <row r="111">
      <c r="A111" s="2" t="inlineStr">
        <is>
          <t>5055</t>
        </is>
      </c>
      <c r="B111" s="2" t="n">
        <v>110</v>
      </c>
      <c r="C111" s="2" t="inlineStr">
        <is>
          <t>5055</t>
        </is>
      </c>
      <c r="D111" s="2" t="inlineStr">
        <is>
          <t>Inventory Adjustments - Sales</t>
        </is>
      </c>
      <c r="E111" s="2" t="inlineStr">
        <is>
          <t>COGS</t>
        </is>
      </c>
      <c r="F111" s="2" t="inlineStr">
        <is>
          <t>Sales</t>
        </is>
      </c>
      <c r="G111" s="4">
        <f>SUMIF(Prior_Year_TB!A:A,A111,Prior_Year_TB!F:F)</f>
        <v/>
      </c>
      <c r="H111" s="4">
        <f>SUMIF(Current_Year_TB!A:A,A111,Current_Year_TB!F:F)</f>
        <v/>
      </c>
      <c r="I111" s="4">
        <f>H111-G111</f>
        <v/>
      </c>
      <c r="J111" s="5">
        <f>IFERROR(I111/ABS(G111),"")</f>
        <v/>
      </c>
      <c r="K111" s="2" t="inlineStr">
        <is>
          <t>Increase</t>
        </is>
      </c>
      <c r="L111" s="2" t="inlineStr">
        <is>
          <t>No</t>
        </is>
      </c>
      <c r="M111" s="2" t="inlineStr"/>
      <c r="N111" s="3" t="inlineStr"/>
      <c r="O111" s="3" t="inlineStr">
        <is>
          <t>Current-year balance increased by $6,210 compared with prior year.</t>
        </is>
      </c>
    </row>
    <row r="112">
      <c r="A112" s="2" t="inlineStr">
        <is>
          <t>1214</t>
        </is>
      </c>
      <c r="B112" s="2" t="n">
        <v>111</v>
      </c>
      <c r="C112" s="2" t="inlineStr">
        <is>
          <t>1214</t>
        </is>
      </c>
      <c r="D112" s="2" t="inlineStr">
        <is>
          <t>Inventory - Admin</t>
        </is>
      </c>
      <c r="E112" s="2" t="inlineStr">
        <is>
          <t>Assets</t>
        </is>
      </c>
      <c r="F112" s="2" t="inlineStr">
        <is>
          <t>Admin</t>
        </is>
      </c>
      <c r="G112" s="4">
        <f>SUMIF(Prior_Year_TB!A:A,A112,Prior_Year_TB!F:F)</f>
        <v/>
      </c>
      <c r="H112" s="4">
        <f>SUMIF(Current_Year_TB!A:A,A112,Current_Year_TB!F:F)</f>
        <v/>
      </c>
      <c r="I112" s="4">
        <f>H112-G112</f>
        <v/>
      </c>
      <c r="J112" s="5">
        <f>IFERROR(I112/ABS(G112),"")</f>
        <v/>
      </c>
      <c r="K112" s="2" t="inlineStr">
        <is>
          <t>Decrease</t>
        </is>
      </c>
      <c r="L112" s="2" t="inlineStr">
        <is>
          <t>No</t>
        </is>
      </c>
      <c r="M112" s="2" t="inlineStr"/>
      <c r="N112" s="3" t="inlineStr"/>
      <c r="O112" s="3" t="inlineStr">
        <is>
          <t>Current-year balance decreased by $6,188 compared with prior year.</t>
        </is>
      </c>
    </row>
    <row r="113">
      <c r="A113" s="2" t="inlineStr">
        <is>
          <t>5444</t>
        </is>
      </c>
      <c r="B113" s="2" t="n">
        <v>112</v>
      </c>
      <c r="C113" s="2" t="inlineStr">
        <is>
          <t>5444</t>
        </is>
      </c>
      <c r="D113" s="2" t="inlineStr">
        <is>
          <t>Inventory Adjustments - Warehouse</t>
        </is>
      </c>
      <c r="E113" s="2" t="inlineStr">
        <is>
          <t>COGS</t>
        </is>
      </c>
      <c r="F113" s="2" t="inlineStr">
        <is>
          <t>Warehouse</t>
        </is>
      </c>
      <c r="G113" s="4">
        <f>SUMIF(Prior_Year_TB!A:A,A113,Prior_Year_TB!F:F)</f>
        <v/>
      </c>
      <c r="H113" s="4">
        <f>SUMIF(Current_Year_TB!A:A,A113,Current_Year_TB!F:F)</f>
        <v/>
      </c>
      <c r="I113" s="4">
        <f>H113-G113</f>
        <v/>
      </c>
      <c r="J113" s="5">
        <f>IFERROR(I113/ABS(G113),"")</f>
        <v/>
      </c>
      <c r="K113" s="2" t="inlineStr">
        <is>
          <t>Increase</t>
        </is>
      </c>
      <c r="L113" s="2" t="inlineStr">
        <is>
          <t>No</t>
        </is>
      </c>
      <c r="M113" s="2" t="inlineStr"/>
      <c r="N113" s="3" t="inlineStr"/>
      <c r="O113" s="3" t="inlineStr">
        <is>
          <t>Current-year balance increased by $6,128 compared with prior year.</t>
        </is>
      </c>
    </row>
    <row r="114">
      <c r="A114" s="2" t="inlineStr">
        <is>
          <t>7081</t>
        </is>
      </c>
      <c r="B114" s="2" t="n">
        <v>113</v>
      </c>
      <c r="C114" s="2" t="inlineStr">
        <is>
          <t>7081</t>
        </is>
      </c>
      <c r="D114" s="2" t="inlineStr">
        <is>
          <t>Taxes and Licenses - IT</t>
        </is>
      </c>
      <c r="E114" s="2" t="inlineStr">
        <is>
          <t>Other Expense</t>
        </is>
      </c>
      <c r="F114" s="2" t="inlineStr">
        <is>
          <t>IT</t>
        </is>
      </c>
      <c r="G114" s="4">
        <f>SUMIF(Prior_Year_TB!A:A,A114,Prior_Year_TB!F:F)</f>
        <v/>
      </c>
      <c r="H114" s="4">
        <f>SUMIF(Current_Year_TB!A:A,A114,Current_Year_TB!F:F)</f>
        <v/>
      </c>
      <c r="I114" s="4">
        <f>H114-G114</f>
        <v/>
      </c>
      <c r="J114" s="5">
        <f>IFERROR(I114/ABS(G114),"")</f>
        <v/>
      </c>
      <c r="K114" s="2" t="inlineStr">
        <is>
          <t>Increase</t>
        </is>
      </c>
      <c r="L114" s="2" t="inlineStr">
        <is>
          <t>No</t>
        </is>
      </c>
      <c r="M114" s="2" t="inlineStr"/>
      <c r="N114" s="3" t="inlineStr"/>
      <c r="O114" s="3" t="inlineStr">
        <is>
          <t>Current-year balance increased by $6,034 compared with prior year.</t>
        </is>
      </c>
    </row>
    <row r="115">
      <c r="A115" s="2" t="inlineStr">
        <is>
          <t>2242</t>
        </is>
      </c>
      <c r="B115" s="2" t="n">
        <v>114</v>
      </c>
      <c r="C115" s="2" t="inlineStr">
        <is>
          <t>2242</t>
        </is>
      </c>
      <c r="D115" s="2" t="inlineStr">
        <is>
          <t>Accounts Payable - Corporate</t>
        </is>
      </c>
      <c r="E115" s="2" t="inlineStr">
        <is>
          <t>Liabilities</t>
        </is>
      </c>
      <c r="F115" s="2" t="inlineStr">
        <is>
          <t>Corporate</t>
        </is>
      </c>
      <c r="G115" s="4">
        <f>SUMIF(Prior_Year_TB!A:A,A115,Prior_Year_TB!F:F)</f>
        <v/>
      </c>
      <c r="H115" s="4">
        <f>SUMIF(Current_Year_TB!A:A,A115,Current_Year_TB!F:F)</f>
        <v/>
      </c>
      <c r="I115" s="4">
        <f>H115-G115</f>
        <v/>
      </c>
      <c r="J115" s="5">
        <f>IFERROR(I115/ABS(G115),"")</f>
        <v/>
      </c>
      <c r="K115" s="2" t="inlineStr">
        <is>
          <t>Decrease</t>
        </is>
      </c>
      <c r="L115" s="2" t="inlineStr">
        <is>
          <t>No</t>
        </is>
      </c>
      <c r="M115" s="2" t="inlineStr"/>
      <c r="N115" s="3" t="inlineStr"/>
      <c r="O115" s="3" t="inlineStr">
        <is>
          <t>Current-year balance decreased by $5,891 compared with prior year.</t>
        </is>
      </c>
    </row>
    <row r="116">
      <c r="A116" s="2" t="inlineStr">
        <is>
          <t>1150</t>
        </is>
      </c>
      <c r="B116" s="2" t="n">
        <v>115</v>
      </c>
      <c r="C116" s="2" t="inlineStr">
        <is>
          <t>1150</t>
        </is>
      </c>
      <c r="D116" s="2" t="inlineStr">
        <is>
          <t>Accumulated Depreciation - Sales</t>
        </is>
      </c>
      <c r="E116" s="2" t="inlineStr">
        <is>
          <t>Assets</t>
        </is>
      </c>
      <c r="F116" s="2" t="inlineStr">
        <is>
          <t>Sales</t>
        </is>
      </c>
      <c r="G116" s="4">
        <f>SUMIF(Prior_Year_TB!A:A,A116,Prior_Year_TB!F:F)</f>
        <v/>
      </c>
      <c r="H116" s="4">
        <f>SUMIF(Current_Year_TB!A:A,A116,Current_Year_TB!F:F)</f>
        <v/>
      </c>
      <c r="I116" s="4">
        <f>H116-G116</f>
        <v/>
      </c>
      <c r="J116" s="5">
        <f>IFERROR(I116/ABS(G116),"")</f>
        <v/>
      </c>
      <c r="K116" s="2" t="inlineStr">
        <is>
          <t>Decrease</t>
        </is>
      </c>
      <c r="L116" s="2" t="inlineStr">
        <is>
          <t>No</t>
        </is>
      </c>
      <c r="M116" s="2" t="inlineStr"/>
      <c r="N116" s="3" t="inlineStr"/>
      <c r="O116" s="3" t="inlineStr">
        <is>
          <t>Current-year balance decreased by $5,824 compared with prior year.</t>
        </is>
      </c>
    </row>
    <row r="117">
      <c r="A117" s="2" t="inlineStr">
        <is>
          <t>5330</t>
        </is>
      </c>
      <c r="B117" s="2" t="n">
        <v>116</v>
      </c>
      <c r="C117" s="2" t="inlineStr">
        <is>
          <t>5330</t>
        </is>
      </c>
      <c r="D117" s="2" t="inlineStr">
        <is>
          <t>Labor - Warehouse</t>
        </is>
      </c>
      <c r="E117" s="2" t="inlineStr">
        <is>
          <t>COGS</t>
        </is>
      </c>
      <c r="F117" s="2" t="inlineStr">
        <is>
          <t>Warehouse</t>
        </is>
      </c>
      <c r="G117" s="4">
        <f>SUMIF(Prior_Year_TB!A:A,A117,Prior_Year_TB!F:F)</f>
        <v/>
      </c>
      <c r="H117" s="4">
        <f>SUMIF(Current_Year_TB!A:A,A117,Current_Year_TB!F:F)</f>
        <v/>
      </c>
      <c r="I117" s="4">
        <f>H117-G117</f>
        <v/>
      </c>
      <c r="J117" s="5">
        <f>IFERROR(I117/ABS(G117),"")</f>
        <v/>
      </c>
      <c r="K117" s="2" t="inlineStr">
        <is>
          <t>Increase</t>
        </is>
      </c>
      <c r="L117" s="2" t="inlineStr">
        <is>
          <t>No</t>
        </is>
      </c>
      <c r="M117" s="2" t="inlineStr"/>
      <c r="N117" s="3" t="inlineStr"/>
      <c r="O117" s="3" t="inlineStr">
        <is>
          <t>Current-year balance increased by $5,799 compared with prior year.</t>
        </is>
      </c>
    </row>
    <row r="118">
      <c r="A118" s="2" t="inlineStr">
        <is>
          <t>1052</t>
        </is>
      </c>
      <c r="B118" s="2" t="n">
        <v>117</v>
      </c>
      <c r="C118" s="2" t="inlineStr">
        <is>
          <t>1052</t>
        </is>
      </c>
      <c r="D118" s="2" t="inlineStr">
        <is>
          <t>Accumulated Depreciation - Warehouse</t>
        </is>
      </c>
      <c r="E118" s="2" t="inlineStr">
        <is>
          <t>Assets</t>
        </is>
      </c>
      <c r="F118" s="2" t="inlineStr">
        <is>
          <t>Warehouse</t>
        </is>
      </c>
      <c r="G118" s="4">
        <f>SUMIF(Prior_Year_TB!A:A,A118,Prior_Year_TB!F:F)</f>
        <v/>
      </c>
      <c r="H118" s="4">
        <f>SUMIF(Current_Year_TB!A:A,A118,Current_Year_TB!F:F)</f>
        <v/>
      </c>
      <c r="I118" s="4">
        <f>H118-G118</f>
        <v/>
      </c>
      <c r="J118" s="5">
        <f>IFERROR(I118/ABS(G118),"")</f>
        <v/>
      </c>
      <c r="K118" s="2" t="inlineStr">
        <is>
          <t>Increase</t>
        </is>
      </c>
      <c r="L118" s="2" t="inlineStr">
        <is>
          <t>No</t>
        </is>
      </c>
      <c r="M118" s="2" t="inlineStr"/>
      <c r="N118" s="3" t="inlineStr"/>
      <c r="O118" s="3" t="inlineStr">
        <is>
          <t>Current-year balance increased by $5,784 compared with prior year.</t>
        </is>
      </c>
    </row>
    <row r="119">
      <c r="A119" s="2" t="inlineStr">
        <is>
          <t>5075</t>
        </is>
      </c>
      <c r="B119" s="2" t="n">
        <v>118</v>
      </c>
      <c r="C119" s="2" t="inlineStr">
        <is>
          <t>5075</t>
        </is>
      </c>
      <c r="D119" s="2" t="inlineStr">
        <is>
          <t>Freight In - Corporate</t>
        </is>
      </c>
      <c r="E119" s="2" t="inlineStr">
        <is>
          <t>COGS</t>
        </is>
      </c>
      <c r="F119" s="2" t="inlineStr">
        <is>
          <t>Corporate</t>
        </is>
      </c>
      <c r="G119" s="4">
        <f>SUMIF(Prior_Year_TB!A:A,A119,Prior_Year_TB!F:F)</f>
        <v/>
      </c>
      <c r="H119" s="4">
        <f>SUMIF(Current_Year_TB!A:A,A119,Current_Year_TB!F:F)</f>
        <v/>
      </c>
      <c r="I119" s="4">
        <f>H119-G119</f>
        <v/>
      </c>
      <c r="J119" s="5">
        <f>IFERROR(I119/ABS(G119),"")</f>
        <v/>
      </c>
      <c r="K119" s="2" t="inlineStr">
        <is>
          <t>Decrease</t>
        </is>
      </c>
      <c r="L119" s="2" t="inlineStr">
        <is>
          <t>No</t>
        </is>
      </c>
      <c r="M119" s="2" t="inlineStr"/>
      <c r="N119" s="3" t="inlineStr"/>
      <c r="O119" s="3" t="inlineStr">
        <is>
          <t>Current-year balance decreased by $5,760 compared with prior year.</t>
        </is>
      </c>
    </row>
    <row r="120">
      <c r="A120" s="2" t="inlineStr">
        <is>
          <t>2085</t>
        </is>
      </c>
      <c r="B120" s="2" t="n">
        <v>119</v>
      </c>
      <c r="C120" s="2" t="inlineStr">
        <is>
          <t>2085</t>
        </is>
      </c>
      <c r="D120" s="2" t="inlineStr">
        <is>
          <t>Accrued Expense - Corporate</t>
        </is>
      </c>
      <c r="E120" s="2" t="inlineStr">
        <is>
          <t>Liabilities</t>
        </is>
      </c>
      <c r="F120" s="2" t="inlineStr">
        <is>
          <t>Corporate</t>
        </is>
      </c>
      <c r="G120" s="4">
        <f>SUMIF(Prior_Year_TB!A:A,A120,Prior_Year_TB!F:F)</f>
        <v/>
      </c>
      <c r="H120" s="4">
        <f>SUMIF(Current_Year_TB!A:A,A120,Current_Year_TB!F:F)</f>
        <v/>
      </c>
      <c r="I120" s="4">
        <f>H120-G120</f>
        <v/>
      </c>
      <c r="J120" s="5">
        <f>IFERROR(I120/ABS(G120),"")</f>
        <v/>
      </c>
      <c r="K120" s="2" t="inlineStr">
        <is>
          <t>Increase</t>
        </is>
      </c>
      <c r="L120" s="2" t="inlineStr">
        <is>
          <t>No</t>
        </is>
      </c>
      <c r="M120" s="2" t="inlineStr"/>
      <c r="N120" s="3" t="inlineStr"/>
      <c r="O120" s="3" t="inlineStr">
        <is>
          <t>Current-year balance increased by $5,683 compared with prior year.</t>
        </is>
      </c>
    </row>
    <row r="121">
      <c r="A121" s="2" t="inlineStr">
        <is>
          <t>6022</t>
        </is>
      </c>
      <c r="B121" s="2" t="n">
        <v>120</v>
      </c>
      <c r="C121" s="2" t="inlineStr">
        <is>
          <t>6022</t>
        </is>
      </c>
      <c r="D121" s="2" t="inlineStr">
        <is>
          <t>Marketing - Admin</t>
        </is>
      </c>
      <c r="E121" s="2" t="inlineStr">
        <is>
          <t>Operating Expenses</t>
        </is>
      </c>
      <c r="F121" s="2" t="inlineStr">
        <is>
          <t>Admin</t>
        </is>
      </c>
      <c r="G121" s="4">
        <f>SUMIF(Prior_Year_TB!A:A,A121,Prior_Year_TB!F:F)</f>
        <v/>
      </c>
      <c r="H121" s="4">
        <f>SUMIF(Current_Year_TB!A:A,A121,Current_Year_TB!F:F)</f>
        <v/>
      </c>
      <c r="I121" s="4">
        <f>H121-G121</f>
        <v/>
      </c>
      <c r="J121" s="5">
        <f>IFERROR(I121/ABS(G121),"")</f>
        <v/>
      </c>
      <c r="K121" s="2" t="inlineStr">
        <is>
          <t>Increase</t>
        </is>
      </c>
      <c r="L121" s="2" t="inlineStr">
        <is>
          <t>No</t>
        </is>
      </c>
      <c r="M121" s="2" t="inlineStr"/>
      <c r="N121" s="3" t="inlineStr"/>
      <c r="O121" s="3" t="inlineStr">
        <is>
          <t>Current-year balance increased by $5,668 compared with prior year.</t>
        </is>
      </c>
    </row>
    <row r="122">
      <c r="A122" s="2" t="inlineStr">
        <is>
          <t>6411</t>
        </is>
      </c>
      <c r="B122" s="2" t="n">
        <v>121</v>
      </c>
      <c r="C122" s="2" t="inlineStr">
        <is>
          <t>6411</t>
        </is>
      </c>
      <c r="D122" s="2" t="inlineStr">
        <is>
          <t>Insurance - Admin</t>
        </is>
      </c>
      <c r="E122" s="2" t="inlineStr">
        <is>
          <t>Operating Expenses</t>
        </is>
      </c>
      <c r="F122" s="2" t="inlineStr">
        <is>
          <t>Admin</t>
        </is>
      </c>
      <c r="G122" s="4">
        <f>SUMIF(Prior_Year_TB!A:A,A122,Prior_Year_TB!F:F)</f>
        <v/>
      </c>
      <c r="H122" s="4">
        <f>SUMIF(Current_Year_TB!A:A,A122,Current_Year_TB!F:F)</f>
        <v/>
      </c>
      <c r="I122" s="4">
        <f>H122-G122</f>
        <v/>
      </c>
      <c r="J122" s="5">
        <f>IFERROR(I122/ABS(G122),"")</f>
        <v/>
      </c>
      <c r="K122" s="2" t="inlineStr">
        <is>
          <t>Increase</t>
        </is>
      </c>
      <c r="L122" s="2" t="inlineStr">
        <is>
          <t>No</t>
        </is>
      </c>
      <c r="M122" s="2" t="inlineStr"/>
      <c r="N122" s="3" t="inlineStr"/>
      <c r="O122" s="3" t="inlineStr">
        <is>
          <t>Current-year balance increased by $5,399 compared with prior year.</t>
        </is>
      </c>
    </row>
    <row r="123">
      <c r="A123" s="2" t="inlineStr">
        <is>
          <t>5381</t>
        </is>
      </c>
      <c r="B123" s="2" t="n">
        <v>122</v>
      </c>
      <c r="C123" s="2" t="inlineStr">
        <is>
          <t>5381</t>
        </is>
      </c>
      <c r="D123" s="2" t="inlineStr">
        <is>
          <t>Inventory Adjustments - Admin</t>
        </is>
      </c>
      <c r="E123" s="2" t="inlineStr">
        <is>
          <t>COGS</t>
        </is>
      </c>
      <c r="F123" s="2" t="inlineStr">
        <is>
          <t>Admin</t>
        </is>
      </c>
      <c r="G123" s="4">
        <f>SUMIF(Prior_Year_TB!A:A,A123,Prior_Year_TB!F:F)</f>
        <v/>
      </c>
      <c r="H123" s="4">
        <f>SUMIF(Current_Year_TB!A:A,A123,Current_Year_TB!F:F)</f>
        <v/>
      </c>
      <c r="I123" s="4">
        <f>H123-G123</f>
        <v/>
      </c>
      <c r="J123" s="5">
        <f>IFERROR(I123/ABS(G123),"")</f>
        <v/>
      </c>
      <c r="K123" s="2" t="inlineStr">
        <is>
          <t>Increase</t>
        </is>
      </c>
      <c r="L123" s="2" t="inlineStr">
        <is>
          <t>No</t>
        </is>
      </c>
      <c r="M123" s="2" t="inlineStr"/>
      <c r="N123" s="3" t="inlineStr"/>
      <c r="O123" s="3" t="inlineStr">
        <is>
          <t>Current-year balance increased by $5,362 compared with prior year.</t>
        </is>
      </c>
    </row>
    <row r="124">
      <c r="A124" s="2" t="inlineStr">
        <is>
          <t>6225</t>
        </is>
      </c>
      <c r="B124" s="2" t="n">
        <v>123</v>
      </c>
      <c r="C124" s="2" t="inlineStr">
        <is>
          <t>6225</t>
        </is>
      </c>
      <c r="D124" s="2" t="inlineStr">
        <is>
          <t>Repairs - Admin</t>
        </is>
      </c>
      <c r="E124" s="2" t="inlineStr">
        <is>
          <t>Operating Expenses</t>
        </is>
      </c>
      <c r="F124" s="2" t="inlineStr">
        <is>
          <t>Admin</t>
        </is>
      </c>
      <c r="G124" s="4">
        <f>SUMIF(Prior_Year_TB!A:A,A124,Prior_Year_TB!F:F)</f>
        <v/>
      </c>
      <c r="H124" s="4">
        <f>SUMIF(Current_Year_TB!A:A,A124,Current_Year_TB!F:F)</f>
        <v/>
      </c>
      <c r="I124" s="4">
        <f>H124-G124</f>
        <v/>
      </c>
      <c r="J124" s="5">
        <f>IFERROR(I124/ABS(G124),"")</f>
        <v/>
      </c>
      <c r="K124" s="2" t="inlineStr">
        <is>
          <t>Increase</t>
        </is>
      </c>
      <c r="L124" s="2" t="inlineStr">
        <is>
          <t>No</t>
        </is>
      </c>
      <c r="M124" s="2" t="inlineStr"/>
      <c r="N124" s="3" t="inlineStr"/>
      <c r="O124" s="3" t="inlineStr">
        <is>
          <t>Current-year balance increased by $5,296 compared with prior year.</t>
        </is>
      </c>
    </row>
    <row r="125">
      <c r="A125" s="2" t="inlineStr">
        <is>
          <t>5312</t>
        </is>
      </c>
      <c r="B125" s="2" t="n">
        <v>124</v>
      </c>
      <c r="C125" s="2" t="inlineStr">
        <is>
          <t>5312</t>
        </is>
      </c>
      <c r="D125" s="2" t="inlineStr">
        <is>
          <t>Inventory Adjustments - IT</t>
        </is>
      </c>
      <c r="E125" s="2" t="inlineStr">
        <is>
          <t>COGS</t>
        </is>
      </c>
      <c r="F125" s="2" t="inlineStr">
        <is>
          <t>IT</t>
        </is>
      </c>
      <c r="G125" s="4">
        <f>SUMIF(Prior_Year_TB!A:A,A125,Prior_Year_TB!F:F)</f>
        <v/>
      </c>
      <c r="H125" s="4">
        <f>SUMIF(Current_Year_TB!A:A,A125,Current_Year_TB!F:F)</f>
        <v/>
      </c>
      <c r="I125" s="4">
        <f>H125-G125</f>
        <v/>
      </c>
      <c r="J125" s="5">
        <f>IFERROR(I125/ABS(G125),"")</f>
        <v/>
      </c>
      <c r="K125" s="2" t="inlineStr">
        <is>
          <t>Increase</t>
        </is>
      </c>
      <c r="L125" s="2" t="inlineStr">
        <is>
          <t>No</t>
        </is>
      </c>
      <c r="M125" s="2" t="inlineStr"/>
      <c r="N125" s="3" t="inlineStr"/>
      <c r="O125" s="3" t="inlineStr">
        <is>
          <t>Current-year balance increased by $5,175 compared with prior year.</t>
        </is>
      </c>
    </row>
    <row r="126">
      <c r="A126" s="2" t="inlineStr">
        <is>
          <t>4312</t>
        </is>
      </c>
      <c r="B126" s="2" t="n">
        <v>125</v>
      </c>
      <c r="C126" s="2" t="inlineStr">
        <is>
          <t>4312</t>
        </is>
      </c>
      <c r="D126" s="2" t="inlineStr">
        <is>
          <t>Service Revenue - Admin</t>
        </is>
      </c>
      <c r="E126" s="2" t="inlineStr">
        <is>
          <t>Revenue</t>
        </is>
      </c>
      <c r="F126" s="2" t="inlineStr">
        <is>
          <t>Admin</t>
        </is>
      </c>
      <c r="G126" s="4">
        <f>SUMIF(Prior_Year_TB!A:A,A126,Prior_Year_TB!F:F)</f>
        <v/>
      </c>
      <c r="H126" s="4">
        <f>SUMIF(Current_Year_TB!A:A,A126,Current_Year_TB!F:F)</f>
        <v/>
      </c>
      <c r="I126" s="4">
        <f>H126-G126</f>
        <v/>
      </c>
      <c r="J126" s="5">
        <f>IFERROR(I126/ABS(G126),"")</f>
        <v/>
      </c>
      <c r="K126" s="2" t="inlineStr">
        <is>
          <t>Decrease</t>
        </is>
      </c>
      <c r="L126" s="2" t="inlineStr">
        <is>
          <t>No</t>
        </is>
      </c>
      <c r="M126" s="2" t="inlineStr"/>
      <c r="N126" s="3" t="inlineStr"/>
      <c r="O126" s="3" t="inlineStr">
        <is>
          <t>Current-year balance decreased by $5,073 compared with prior year.</t>
        </is>
      </c>
    </row>
    <row r="127">
      <c r="A127" s="2" t="inlineStr">
        <is>
          <t>5433</t>
        </is>
      </c>
      <c r="B127" s="2" t="n">
        <v>126</v>
      </c>
      <c r="C127" s="2" t="inlineStr">
        <is>
          <t>5433</t>
        </is>
      </c>
      <c r="D127" s="2" t="inlineStr">
        <is>
          <t>Materials - Sales</t>
        </is>
      </c>
      <c r="E127" s="2" t="inlineStr">
        <is>
          <t>COGS</t>
        </is>
      </c>
      <c r="F127" s="2" t="inlineStr">
        <is>
          <t>Sales</t>
        </is>
      </c>
      <c r="G127" s="4">
        <f>SUMIF(Prior_Year_TB!A:A,A127,Prior_Year_TB!F:F)</f>
        <v/>
      </c>
      <c r="H127" s="4">
        <f>SUMIF(Current_Year_TB!A:A,A127,Current_Year_TB!F:F)</f>
        <v/>
      </c>
      <c r="I127" s="4">
        <f>H127-G127</f>
        <v/>
      </c>
      <c r="J127" s="5">
        <f>IFERROR(I127/ABS(G127),"")</f>
        <v/>
      </c>
      <c r="K127" s="2" t="inlineStr">
        <is>
          <t>Increase</t>
        </is>
      </c>
      <c r="L127" s="2" t="inlineStr">
        <is>
          <t>No</t>
        </is>
      </c>
      <c r="M127" s="2" t="inlineStr"/>
      <c r="N127" s="3" t="inlineStr"/>
      <c r="O127" s="3" t="inlineStr">
        <is>
          <t>Current-year balance increased by $5,059 compared with prior year.</t>
        </is>
      </c>
    </row>
    <row r="128">
      <c r="A128" s="2" t="inlineStr">
        <is>
          <t>6180</t>
        </is>
      </c>
      <c r="B128" s="2" t="n">
        <v>127</v>
      </c>
      <c r="C128" s="2" t="inlineStr">
        <is>
          <t>6180</t>
        </is>
      </c>
      <c r="D128" s="2" t="inlineStr">
        <is>
          <t>Software - IT</t>
        </is>
      </c>
      <c r="E128" s="2" t="inlineStr">
        <is>
          <t>Operating Expenses</t>
        </is>
      </c>
      <c r="F128" s="2" t="inlineStr">
        <is>
          <t>IT</t>
        </is>
      </c>
      <c r="G128" s="4">
        <f>SUMIF(Prior_Year_TB!A:A,A128,Prior_Year_TB!F:F)</f>
        <v/>
      </c>
      <c r="H128" s="4">
        <f>SUMIF(Current_Year_TB!A:A,A128,Current_Year_TB!F:F)</f>
        <v/>
      </c>
      <c r="I128" s="4">
        <f>H128-G128</f>
        <v/>
      </c>
      <c r="J128" s="5">
        <f>IFERROR(I128/ABS(G128),"")</f>
        <v/>
      </c>
      <c r="K128" s="2" t="inlineStr">
        <is>
          <t>Decrease</t>
        </is>
      </c>
      <c r="L128" s="2" t="inlineStr">
        <is>
          <t>No</t>
        </is>
      </c>
      <c r="M128" s="2" t="inlineStr"/>
      <c r="N128" s="3" t="inlineStr"/>
      <c r="O128" s="3" t="inlineStr">
        <is>
          <t>Current-year balance decreased by $4,958 compared with prior year.</t>
        </is>
      </c>
    </row>
    <row r="129">
      <c r="A129" s="2" t="inlineStr">
        <is>
          <t>6114</t>
        </is>
      </c>
      <c r="B129" s="2" t="n">
        <v>128</v>
      </c>
      <c r="C129" s="2" t="inlineStr">
        <is>
          <t>6114</t>
        </is>
      </c>
      <c r="D129" s="2" t="inlineStr">
        <is>
          <t>Marketing - Corporate</t>
        </is>
      </c>
      <c r="E129" s="2" t="inlineStr">
        <is>
          <t>Operating Expenses</t>
        </is>
      </c>
      <c r="F129" s="2" t="inlineStr">
        <is>
          <t>Corporate</t>
        </is>
      </c>
      <c r="G129" s="4">
        <f>SUMIF(Prior_Year_TB!A:A,A129,Prior_Year_TB!F:F)</f>
        <v/>
      </c>
      <c r="H129" s="4">
        <f>SUMIF(Current_Year_TB!A:A,A129,Current_Year_TB!F:F)</f>
        <v/>
      </c>
      <c r="I129" s="4">
        <f>H129-G129</f>
        <v/>
      </c>
      <c r="J129" s="5">
        <f>IFERROR(I129/ABS(G129),"")</f>
        <v/>
      </c>
      <c r="K129" s="2" t="inlineStr">
        <is>
          <t>Decrease</t>
        </is>
      </c>
      <c r="L129" s="2" t="inlineStr">
        <is>
          <t>No</t>
        </is>
      </c>
      <c r="M129" s="2" t="inlineStr"/>
      <c r="N129" s="3" t="inlineStr"/>
      <c r="O129" s="3" t="inlineStr">
        <is>
          <t>Current-year balance decreased by $4,935 compared with prior year.</t>
        </is>
      </c>
    </row>
    <row r="130">
      <c r="A130" s="2" t="inlineStr">
        <is>
          <t>2070</t>
        </is>
      </c>
      <c r="B130" s="2" t="n">
        <v>129</v>
      </c>
      <c r="C130" s="2" t="inlineStr">
        <is>
          <t>2070</t>
        </is>
      </c>
      <c r="D130" s="2" t="inlineStr">
        <is>
          <t>Accounts Payable - Warehouse</t>
        </is>
      </c>
      <c r="E130" s="2" t="inlineStr">
        <is>
          <t>Liabilities</t>
        </is>
      </c>
      <c r="F130" s="2" t="inlineStr">
        <is>
          <t>Warehouse</t>
        </is>
      </c>
      <c r="G130" s="4">
        <f>SUMIF(Prior_Year_TB!A:A,A130,Prior_Year_TB!F:F)</f>
        <v/>
      </c>
      <c r="H130" s="4">
        <f>SUMIF(Current_Year_TB!A:A,A130,Current_Year_TB!F:F)</f>
        <v/>
      </c>
      <c r="I130" s="4">
        <f>H130-G130</f>
        <v/>
      </c>
      <c r="J130" s="5">
        <f>IFERROR(I130/ABS(G130),"")</f>
        <v/>
      </c>
      <c r="K130" s="2" t="inlineStr">
        <is>
          <t>Decrease</t>
        </is>
      </c>
      <c r="L130" s="2" t="inlineStr">
        <is>
          <t>No</t>
        </is>
      </c>
      <c r="M130" s="2" t="inlineStr"/>
      <c r="N130" s="3" t="inlineStr"/>
      <c r="O130" s="3" t="inlineStr">
        <is>
          <t>Current-year balance decreased by $4,888 compared with prior year.</t>
        </is>
      </c>
    </row>
    <row r="131">
      <c r="A131" s="2" t="inlineStr">
        <is>
          <t>4420</t>
        </is>
      </c>
      <c r="B131" s="2" t="n">
        <v>130</v>
      </c>
      <c r="C131" s="2" t="inlineStr">
        <is>
          <t>4420</t>
        </is>
      </c>
      <c r="D131" s="2" t="inlineStr">
        <is>
          <t>Other Income - Ops</t>
        </is>
      </c>
      <c r="E131" s="2" t="inlineStr">
        <is>
          <t>Revenue</t>
        </is>
      </c>
      <c r="F131" s="2" t="inlineStr">
        <is>
          <t>Ops</t>
        </is>
      </c>
      <c r="G131" s="4">
        <f>SUMIF(Prior_Year_TB!A:A,A131,Prior_Year_TB!F:F)</f>
        <v/>
      </c>
      <c r="H131" s="4">
        <f>SUMIF(Current_Year_TB!A:A,A131,Current_Year_TB!F:F)</f>
        <v/>
      </c>
      <c r="I131" s="4">
        <f>H131-G131</f>
        <v/>
      </c>
      <c r="J131" s="5">
        <f>IFERROR(I131/ABS(G131),"")</f>
        <v/>
      </c>
      <c r="K131" s="2" t="inlineStr">
        <is>
          <t>Decrease</t>
        </is>
      </c>
      <c r="L131" s="2" t="inlineStr">
        <is>
          <t>No</t>
        </is>
      </c>
      <c r="M131" s="2" t="inlineStr"/>
      <c r="N131" s="3" t="inlineStr"/>
      <c r="O131" s="3" t="inlineStr">
        <is>
          <t>Current-year balance decreased by $4,829 compared with prior year.</t>
        </is>
      </c>
    </row>
    <row r="132">
      <c r="A132" s="2" t="inlineStr">
        <is>
          <t>5115</t>
        </is>
      </c>
      <c r="B132" s="2" t="n">
        <v>131</v>
      </c>
      <c r="C132" s="2" t="inlineStr">
        <is>
          <t>5115</t>
        </is>
      </c>
      <c r="D132" s="2" t="inlineStr">
        <is>
          <t>Labor - IT</t>
        </is>
      </c>
      <c r="E132" s="2" t="inlineStr">
        <is>
          <t>COGS</t>
        </is>
      </c>
      <c r="F132" s="2" t="inlineStr">
        <is>
          <t>IT</t>
        </is>
      </c>
      <c r="G132" s="4">
        <f>SUMIF(Prior_Year_TB!A:A,A132,Prior_Year_TB!F:F)</f>
        <v/>
      </c>
      <c r="H132" s="4">
        <f>SUMIF(Current_Year_TB!A:A,A132,Current_Year_TB!F:F)</f>
        <v/>
      </c>
      <c r="I132" s="4">
        <f>H132-G132</f>
        <v/>
      </c>
      <c r="J132" s="5">
        <f>IFERROR(I132/ABS(G132),"")</f>
        <v/>
      </c>
      <c r="K132" s="2" t="inlineStr">
        <is>
          <t>Decrease</t>
        </is>
      </c>
      <c r="L132" s="2" t="inlineStr">
        <is>
          <t>No</t>
        </is>
      </c>
      <c r="M132" s="2" t="inlineStr"/>
      <c r="N132" s="3" t="inlineStr"/>
      <c r="O132" s="3" t="inlineStr">
        <is>
          <t>Current-year balance decreased by $4,771 compared with prior year.</t>
        </is>
      </c>
    </row>
    <row r="133">
      <c r="A133" s="2" t="inlineStr">
        <is>
          <t>5092</t>
        </is>
      </c>
      <c r="B133" s="2" t="n">
        <v>132</v>
      </c>
      <c r="C133" s="2" t="inlineStr">
        <is>
          <t>5092</t>
        </is>
      </c>
      <c r="D133" s="2" t="inlineStr">
        <is>
          <t>Inventory Adjustments - Corporate</t>
        </is>
      </c>
      <c r="E133" s="2" t="inlineStr">
        <is>
          <t>COGS</t>
        </is>
      </c>
      <c r="F133" s="2" t="inlineStr">
        <is>
          <t>Corporate</t>
        </is>
      </c>
      <c r="G133" s="4">
        <f>SUMIF(Prior_Year_TB!A:A,A133,Prior_Year_TB!F:F)</f>
        <v/>
      </c>
      <c r="H133" s="4">
        <f>SUMIF(Current_Year_TB!A:A,A133,Current_Year_TB!F:F)</f>
        <v/>
      </c>
      <c r="I133" s="4">
        <f>H133-G133</f>
        <v/>
      </c>
      <c r="J133" s="5">
        <f>IFERROR(I133/ABS(G133),"")</f>
        <v/>
      </c>
      <c r="K133" s="2" t="inlineStr">
        <is>
          <t>Decrease</t>
        </is>
      </c>
      <c r="L133" s="2" t="inlineStr">
        <is>
          <t>No</t>
        </is>
      </c>
      <c r="M133" s="2" t="inlineStr"/>
      <c r="N133" s="3" t="inlineStr"/>
      <c r="O133" s="3" t="inlineStr">
        <is>
          <t>Current-year balance decreased by $4,711 compared with prior year.</t>
        </is>
      </c>
    </row>
    <row r="134">
      <c r="A134" s="2" t="inlineStr">
        <is>
          <t>6000</t>
        </is>
      </c>
      <c r="B134" s="2" t="n">
        <v>133</v>
      </c>
      <c r="C134" s="2" t="inlineStr">
        <is>
          <t>6000</t>
        </is>
      </c>
      <c r="D134" s="2" t="inlineStr">
        <is>
          <t>Salaries - IT</t>
        </is>
      </c>
      <c r="E134" s="2" t="inlineStr">
        <is>
          <t>Operating Expenses</t>
        </is>
      </c>
      <c r="F134" s="2" t="inlineStr">
        <is>
          <t>IT</t>
        </is>
      </c>
      <c r="G134" s="4">
        <f>SUMIF(Prior_Year_TB!A:A,A134,Prior_Year_TB!F:F)</f>
        <v/>
      </c>
      <c r="H134" s="4">
        <f>SUMIF(Current_Year_TB!A:A,A134,Current_Year_TB!F:F)</f>
        <v/>
      </c>
      <c r="I134" s="4">
        <f>H134-G134</f>
        <v/>
      </c>
      <c r="J134" s="5">
        <f>IFERROR(I134/ABS(G134),"")</f>
        <v/>
      </c>
      <c r="K134" s="2" t="inlineStr">
        <is>
          <t>Increase</t>
        </is>
      </c>
      <c r="L134" s="2" t="inlineStr">
        <is>
          <t>No</t>
        </is>
      </c>
      <c r="M134" s="2" t="inlineStr"/>
      <c r="N134" s="3" t="inlineStr"/>
      <c r="O134" s="3" t="inlineStr">
        <is>
          <t>Current-year balance increased by $4,669 compared with prior year.</t>
        </is>
      </c>
    </row>
    <row r="135">
      <c r="A135" s="2" t="inlineStr">
        <is>
          <t>5214</t>
        </is>
      </c>
      <c r="B135" s="2" t="n">
        <v>134</v>
      </c>
      <c r="C135" s="2" t="inlineStr">
        <is>
          <t>5214</t>
        </is>
      </c>
      <c r="D135" s="2" t="inlineStr">
        <is>
          <t>Freight In - IT</t>
        </is>
      </c>
      <c r="E135" s="2" t="inlineStr">
        <is>
          <t>COGS</t>
        </is>
      </c>
      <c r="F135" s="2" t="inlineStr">
        <is>
          <t>IT</t>
        </is>
      </c>
      <c r="G135" s="4">
        <f>SUMIF(Prior_Year_TB!A:A,A135,Prior_Year_TB!F:F)</f>
        <v/>
      </c>
      <c r="H135" s="4">
        <f>SUMIF(Current_Year_TB!A:A,A135,Current_Year_TB!F:F)</f>
        <v/>
      </c>
      <c r="I135" s="4">
        <f>H135-G135</f>
        <v/>
      </c>
      <c r="J135" s="5">
        <f>IFERROR(I135/ABS(G135),"")</f>
        <v/>
      </c>
      <c r="K135" s="2" t="inlineStr">
        <is>
          <t>Increase</t>
        </is>
      </c>
      <c r="L135" s="2" t="inlineStr">
        <is>
          <t>No</t>
        </is>
      </c>
      <c r="M135" s="2" t="inlineStr"/>
      <c r="N135" s="3" t="inlineStr"/>
      <c r="O135" s="3" t="inlineStr">
        <is>
          <t>Current-year balance increased by $4,642 compared with prior year.</t>
        </is>
      </c>
    </row>
    <row r="136">
      <c r="A136" s="2" t="inlineStr">
        <is>
          <t>3110</t>
        </is>
      </c>
      <c r="B136" s="2" t="n">
        <v>135</v>
      </c>
      <c r="C136" s="2" t="inlineStr">
        <is>
          <t>3110</t>
        </is>
      </c>
      <c r="D136" s="2" t="inlineStr">
        <is>
          <t>Distributions - Warehouse</t>
        </is>
      </c>
      <c r="E136" s="2" t="inlineStr">
        <is>
          <t>Equity</t>
        </is>
      </c>
      <c r="F136" s="2" t="inlineStr">
        <is>
          <t>Warehouse</t>
        </is>
      </c>
      <c r="G136" s="4">
        <f>SUMIF(Prior_Year_TB!A:A,A136,Prior_Year_TB!F:F)</f>
        <v/>
      </c>
      <c r="H136" s="4">
        <f>SUMIF(Current_Year_TB!A:A,A136,Current_Year_TB!F:F)</f>
        <v/>
      </c>
      <c r="I136" s="4">
        <f>H136-G136</f>
        <v/>
      </c>
      <c r="J136" s="5">
        <f>IFERROR(I136/ABS(G136),"")</f>
        <v/>
      </c>
      <c r="K136" s="2" t="inlineStr">
        <is>
          <t>Decrease</t>
        </is>
      </c>
      <c r="L136" s="2" t="inlineStr">
        <is>
          <t>No</t>
        </is>
      </c>
      <c r="M136" s="2" t="inlineStr"/>
      <c r="N136" s="3" t="inlineStr"/>
      <c r="O136" s="3" t="inlineStr">
        <is>
          <t>Current-year balance decreased by $4,601 compared with prior year.</t>
        </is>
      </c>
    </row>
    <row r="137">
      <c r="A137" s="2" t="inlineStr">
        <is>
          <t>4442</t>
        </is>
      </c>
      <c r="B137" s="2" t="n">
        <v>136</v>
      </c>
      <c r="C137" s="2" t="inlineStr">
        <is>
          <t>4442</t>
        </is>
      </c>
      <c r="D137" s="2" t="inlineStr">
        <is>
          <t>Discounts - Warehouse</t>
        </is>
      </c>
      <c r="E137" s="2" t="inlineStr">
        <is>
          <t>Revenue</t>
        </is>
      </c>
      <c r="F137" s="2" t="inlineStr">
        <is>
          <t>Warehouse</t>
        </is>
      </c>
      <c r="G137" s="4">
        <f>SUMIF(Prior_Year_TB!A:A,A137,Prior_Year_TB!F:F)</f>
        <v/>
      </c>
      <c r="H137" s="4">
        <f>SUMIF(Current_Year_TB!A:A,A137,Current_Year_TB!F:F)</f>
        <v/>
      </c>
      <c r="I137" s="4">
        <f>H137-G137</f>
        <v/>
      </c>
      <c r="J137" s="5">
        <f>IFERROR(I137/ABS(G137),"")</f>
        <v/>
      </c>
      <c r="K137" s="2" t="inlineStr">
        <is>
          <t>Decrease</t>
        </is>
      </c>
      <c r="L137" s="2" t="inlineStr">
        <is>
          <t>No</t>
        </is>
      </c>
      <c r="M137" s="2" t="inlineStr"/>
      <c r="N137" s="3" t="inlineStr"/>
      <c r="O137" s="3" t="inlineStr">
        <is>
          <t>Current-year balance decreased by $4,538 compared with prior year.</t>
        </is>
      </c>
    </row>
    <row r="138">
      <c r="A138" s="2" t="inlineStr">
        <is>
          <t>4112</t>
        </is>
      </c>
      <c r="B138" s="2" t="n">
        <v>137</v>
      </c>
      <c r="C138" s="2" t="inlineStr">
        <is>
          <t>4112</t>
        </is>
      </c>
      <c r="D138" s="2" t="inlineStr">
        <is>
          <t>Other Income - Ops</t>
        </is>
      </c>
      <c r="E138" s="2" t="inlineStr">
        <is>
          <t>Revenue</t>
        </is>
      </c>
      <c r="F138" s="2" t="inlineStr">
        <is>
          <t>Ops</t>
        </is>
      </c>
      <c r="G138" s="4">
        <f>SUMIF(Prior_Year_TB!A:A,A138,Prior_Year_TB!F:F)</f>
        <v/>
      </c>
      <c r="H138" s="4">
        <f>SUMIF(Current_Year_TB!A:A,A138,Current_Year_TB!F:F)</f>
        <v/>
      </c>
      <c r="I138" s="4">
        <f>H138-G138</f>
        <v/>
      </c>
      <c r="J138" s="5">
        <f>IFERROR(I138/ABS(G138),"")</f>
        <v/>
      </c>
      <c r="K138" s="2" t="inlineStr">
        <is>
          <t>Increase</t>
        </is>
      </c>
      <c r="L138" s="2" t="inlineStr">
        <is>
          <t>No</t>
        </is>
      </c>
      <c r="M138" s="2" t="inlineStr"/>
      <c r="N138" s="3" t="inlineStr"/>
      <c r="O138" s="3" t="inlineStr">
        <is>
          <t>Current-year balance increased by $4,515 compared with prior year.</t>
        </is>
      </c>
    </row>
    <row r="139">
      <c r="A139" s="2" t="inlineStr">
        <is>
          <t>7175</t>
        </is>
      </c>
      <c r="B139" s="2" t="n">
        <v>138</v>
      </c>
      <c r="C139" s="2" t="inlineStr">
        <is>
          <t>7175</t>
        </is>
      </c>
      <c r="D139" s="2" t="inlineStr">
        <is>
          <t>Taxes and Licenses - Sales</t>
        </is>
      </c>
      <c r="E139" s="2" t="inlineStr">
        <is>
          <t>Other Expense</t>
        </is>
      </c>
      <c r="F139" s="2" t="inlineStr">
        <is>
          <t>Sales</t>
        </is>
      </c>
      <c r="G139" s="4">
        <f>SUMIF(Prior_Year_TB!A:A,A139,Prior_Year_TB!F:F)</f>
        <v/>
      </c>
      <c r="H139" s="4">
        <f>SUMIF(Current_Year_TB!A:A,A139,Current_Year_TB!F:F)</f>
        <v/>
      </c>
      <c r="I139" s="4">
        <f>H139-G139</f>
        <v/>
      </c>
      <c r="J139" s="5">
        <f>IFERROR(I139/ABS(G139),"")</f>
        <v/>
      </c>
      <c r="K139" s="2" t="inlineStr">
        <is>
          <t>Increase</t>
        </is>
      </c>
      <c r="L139" s="2" t="inlineStr">
        <is>
          <t>No</t>
        </is>
      </c>
      <c r="M139" s="2" t="inlineStr"/>
      <c r="N139" s="3" t="inlineStr"/>
      <c r="O139" s="3" t="inlineStr">
        <is>
          <t>Current-year balance increased by $4,494 compared with prior year.</t>
        </is>
      </c>
    </row>
    <row r="140">
      <c r="A140" s="2" t="inlineStr">
        <is>
          <t>3234</t>
        </is>
      </c>
      <c r="B140" s="2" t="n">
        <v>139</v>
      </c>
      <c r="C140" s="2" t="inlineStr">
        <is>
          <t>3234</t>
        </is>
      </c>
      <c r="D140" s="2" t="inlineStr">
        <is>
          <t>Distributions - Corporate</t>
        </is>
      </c>
      <c r="E140" s="2" t="inlineStr">
        <is>
          <t>Equity</t>
        </is>
      </c>
      <c r="F140" s="2" t="inlineStr">
        <is>
          <t>Corporate</t>
        </is>
      </c>
      <c r="G140" s="4">
        <f>SUMIF(Prior_Year_TB!A:A,A140,Prior_Year_TB!F:F)</f>
        <v/>
      </c>
      <c r="H140" s="4">
        <f>SUMIF(Current_Year_TB!A:A,A140,Current_Year_TB!F:F)</f>
        <v/>
      </c>
      <c r="I140" s="4">
        <f>H140-G140</f>
        <v/>
      </c>
      <c r="J140" s="5">
        <f>IFERROR(I140/ABS(G140),"")</f>
        <v/>
      </c>
      <c r="K140" s="2" t="inlineStr">
        <is>
          <t>Decrease</t>
        </is>
      </c>
      <c r="L140" s="2" t="inlineStr">
        <is>
          <t>No</t>
        </is>
      </c>
      <c r="M140" s="2" t="inlineStr"/>
      <c r="N140" s="3" t="inlineStr"/>
      <c r="O140" s="3" t="inlineStr">
        <is>
          <t>Current-year balance decreased by $4,490 compared with prior year.</t>
        </is>
      </c>
    </row>
    <row r="141">
      <c r="A141" s="2" t="inlineStr">
        <is>
          <t>6214</t>
        </is>
      </c>
      <c r="B141" s="2" t="n">
        <v>140</v>
      </c>
      <c r="C141" s="2" t="inlineStr">
        <is>
          <t>6214</t>
        </is>
      </c>
      <c r="D141" s="2" t="inlineStr">
        <is>
          <t>Marketing - Admin</t>
        </is>
      </c>
      <c r="E141" s="2" t="inlineStr">
        <is>
          <t>Operating Expenses</t>
        </is>
      </c>
      <c r="F141" s="2" t="inlineStr">
        <is>
          <t>Admin</t>
        </is>
      </c>
      <c r="G141" s="4">
        <f>SUMIF(Prior_Year_TB!A:A,A141,Prior_Year_TB!F:F)</f>
        <v/>
      </c>
      <c r="H141" s="4">
        <f>SUMIF(Current_Year_TB!A:A,A141,Current_Year_TB!F:F)</f>
        <v/>
      </c>
      <c r="I141" s="4">
        <f>H141-G141</f>
        <v/>
      </c>
      <c r="J141" s="5">
        <f>IFERROR(I141/ABS(G141),"")</f>
        <v/>
      </c>
      <c r="K141" s="2" t="inlineStr">
        <is>
          <t>Increase</t>
        </is>
      </c>
      <c r="L141" s="2" t="inlineStr">
        <is>
          <t>No</t>
        </is>
      </c>
      <c r="M141" s="2" t="inlineStr"/>
      <c r="N141" s="3" t="inlineStr"/>
      <c r="O141" s="3" t="inlineStr">
        <is>
          <t>Current-year balance increased by $4,264 compared with prior year.</t>
        </is>
      </c>
    </row>
    <row r="142">
      <c r="A142" s="2" t="inlineStr">
        <is>
          <t>2090</t>
        </is>
      </c>
      <c r="B142" s="2" t="n">
        <v>141</v>
      </c>
      <c r="C142" s="2" t="inlineStr">
        <is>
          <t>2090</t>
        </is>
      </c>
      <c r="D142" s="2" t="inlineStr">
        <is>
          <t>Notes Payable - Sales</t>
        </is>
      </c>
      <c r="E142" s="2" t="inlineStr">
        <is>
          <t>Liabilities</t>
        </is>
      </c>
      <c r="F142" s="2" t="inlineStr">
        <is>
          <t>Sales</t>
        </is>
      </c>
      <c r="G142" s="4">
        <f>SUMIF(Prior_Year_TB!A:A,A142,Prior_Year_TB!F:F)</f>
        <v/>
      </c>
      <c r="H142" s="4">
        <f>SUMIF(Current_Year_TB!A:A,A142,Current_Year_TB!F:F)</f>
        <v/>
      </c>
      <c r="I142" s="4">
        <f>H142-G142</f>
        <v/>
      </c>
      <c r="J142" s="5">
        <f>IFERROR(I142/ABS(G142),"")</f>
        <v/>
      </c>
      <c r="K142" s="2" t="inlineStr">
        <is>
          <t>Decrease</t>
        </is>
      </c>
      <c r="L142" s="2" t="inlineStr">
        <is>
          <t>No</t>
        </is>
      </c>
      <c r="M142" s="2" t="inlineStr"/>
      <c r="N142" s="3" t="inlineStr"/>
      <c r="O142" s="3" t="inlineStr">
        <is>
          <t>Current-year balance decreased by $4,239 compared with prior year.</t>
        </is>
      </c>
    </row>
    <row r="143">
      <c r="A143" s="2" t="inlineStr">
        <is>
          <t>5324</t>
        </is>
      </c>
      <c r="B143" s="2" t="n">
        <v>142</v>
      </c>
      <c r="C143" s="2" t="inlineStr">
        <is>
          <t>5324</t>
        </is>
      </c>
      <c r="D143" s="2" t="inlineStr">
        <is>
          <t>Labor - Ops</t>
        </is>
      </c>
      <c r="E143" s="2" t="inlineStr">
        <is>
          <t>COGS</t>
        </is>
      </c>
      <c r="F143" s="2" t="inlineStr">
        <is>
          <t>Ops</t>
        </is>
      </c>
      <c r="G143" s="4">
        <f>SUMIF(Prior_Year_TB!A:A,A143,Prior_Year_TB!F:F)</f>
        <v/>
      </c>
      <c r="H143" s="4">
        <f>SUMIF(Current_Year_TB!A:A,A143,Current_Year_TB!F:F)</f>
        <v/>
      </c>
      <c r="I143" s="4">
        <f>H143-G143</f>
        <v/>
      </c>
      <c r="J143" s="5">
        <f>IFERROR(I143/ABS(G143),"")</f>
        <v/>
      </c>
      <c r="K143" s="2" t="inlineStr">
        <is>
          <t>Increase</t>
        </is>
      </c>
      <c r="L143" s="2" t="inlineStr">
        <is>
          <t>No</t>
        </is>
      </c>
      <c r="M143" s="2" t="inlineStr"/>
      <c r="N143" s="3" t="inlineStr"/>
      <c r="O143" s="3" t="inlineStr">
        <is>
          <t>Current-year balance increased by $4,183 compared with prior year.</t>
        </is>
      </c>
    </row>
    <row r="144">
      <c r="A144" s="2" t="inlineStr">
        <is>
          <t>3074</t>
        </is>
      </c>
      <c r="B144" s="2" t="n">
        <v>143</v>
      </c>
      <c r="C144" s="2" t="inlineStr">
        <is>
          <t>3074</t>
        </is>
      </c>
      <c r="D144" s="2" t="inlineStr">
        <is>
          <t>Retained Earnings - Corporate</t>
        </is>
      </c>
      <c r="E144" s="2" t="inlineStr">
        <is>
          <t>Equity</t>
        </is>
      </c>
      <c r="F144" s="2" t="inlineStr">
        <is>
          <t>Corporate</t>
        </is>
      </c>
      <c r="G144" s="4">
        <f>SUMIF(Prior_Year_TB!A:A,A144,Prior_Year_TB!F:F)</f>
        <v/>
      </c>
      <c r="H144" s="4">
        <f>SUMIF(Current_Year_TB!A:A,A144,Current_Year_TB!F:F)</f>
        <v/>
      </c>
      <c r="I144" s="4">
        <f>H144-G144</f>
        <v/>
      </c>
      <c r="J144" s="5">
        <f>IFERROR(I144/ABS(G144),"")</f>
        <v/>
      </c>
      <c r="K144" s="2" t="inlineStr">
        <is>
          <t>Increase</t>
        </is>
      </c>
      <c r="L144" s="2" t="inlineStr">
        <is>
          <t>No</t>
        </is>
      </c>
      <c r="M144" s="2" t="inlineStr"/>
      <c r="N144" s="3" t="inlineStr"/>
      <c r="O144" s="3" t="inlineStr">
        <is>
          <t>Current-year balance increased by $4,162 compared with prior year.</t>
        </is>
      </c>
    </row>
    <row r="145">
      <c r="A145" s="2" t="inlineStr">
        <is>
          <t>5405</t>
        </is>
      </c>
      <c r="B145" s="2" t="n">
        <v>144</v>
      </c>
      <c r="C145" s="2" t="inlineStr">
        <is>
          <t>5405</t>
        </is>
      </c>
      <c r="D145" s="2" t="inlineStr">
        <is>
          <t>Freight In - Corporate</t>
        </is>
      </c>
      <c r="E145" s="2" t="inlineStr">
        <is>
          <t>COGS</t>
        </is>
      </c>
      <c r="F145" s="2" t="inlineStr">
        <is>
          <t>Corporate</t>
        </is>
      </c>
      <c r="G145" s="4">
        <f>SUMIF(Prior_Year_TB!A:A,A145,Prior_Year_TB!F:F)</f>
        <v/>
      </c>
      <c r="H145" s="4">
        <f>SUMIF(Current_Year_TB!A:A,A145,Current_Year_TB!F:F)</f>
        <v/>
      </c>
      <c r="I145" s="4">
        <f>H145-G145</f>
        <v/>
      </c>
      <c r="J145" s="5">
        <f>IFERROR(I145/ABS(G145),"")</f>
        <v/>
      </c>
      <c r="K145" s="2" t="inlineStr">
        <is>
          <t>Decrease</t>
        </is>
      </c>
      <c r="L145" s="2" t="inlineStr">
        <is>
          <t>No</t>
        </is>
      </c>
      <c r="M145" s="2" t="inlineStr"/>
      <c r="N145" s="3" t="inlineStr"/>
      <c r="O145" s="3" t="inlineStr">
        <is>
          <t>Current-year balance decreased by $4,127 compared with prior year.</t>
        </is>
      </c>
    </row>
    <row r="146">
      <c r="A146" s="2" t="inlineStr">
        <is>
          <t>6063</t>
        </is>
      </c>
      <c r="B146" s="2" t="n">
        <v>145</v>
      </c>
      <c r="C146" s="2" t="inlineStr">
        <is>
          <t>6063</t>
        </is>
      </c>
      <c r="D146" s="2" t="inlineStr">
        <is>
          <t>Insurance - Sales</t>
        </is>
      </c>
      <c r="E146" s="2" t="inlineStr">
        <is>
          <t>Operating Expenses</t>
        </is>
      </c>
      <c r="F146" s="2" t="inlineStr">
        <is>
          <t>Sales</t>
        </is>
      </c>
      <c r="G146" s="4">
        <f>SUMIF(Prior_Year_TB!A:A,A146,Prior_Year_TB!F:F)</f>
        <v/>
      </c>
      <c r="H146" s="4">
        <f>SUMIF(Current_Year_TB!A:A,A146,Current_Year_TB!F:F)</f>
        <v/>
      </c>
      <c r="I146" s="4">
        <f>H146-G146</f>
        <v/>
      </c>
      <c r="J146" s="5">
        <f>IFERROR(I146/ABS(G146),"")</f>
        <v/>
      </c>
      <c r="K146" s="2" t="inlineStr">
        <is>
          <t>Increase</t>
        </is>
      </c>
      <c r="L146" s="2" t="inlineStr">
        <is>
          <t>No</t>
        </is>
      </c>
      <c r="M146" s="2" t="inlineStr"/>
      <c r="N146" s="3" t="inlineStr"/>
      <c r="O146" s="3" t="inlineStr">
        <is>
          <t>Current-year balance increased by $4,085 compared with prior year.</t>
        </is>
      </c>
    </row>
    <row r="147">
      <c r="A147" s="2" t="inlineStr">
        <is>
          <t>2174</t>
        </is>
      </c>
      <c r="B147" s="2" t="n">
        <v>146</v>
      </c>
      <c r="C147" s="2" t="inlineStr">
        <is>
          <t>2174</t>
        </is>
      </c>
      <c r="D147" s="2" t="inlineStr">
        <is>
          <t>Payroll Liabilities - IT</t>
        </is>
      </c>
      <c r="E147" s="2" t="inlineStr">
        <is>
          <t>Liabilities</t>
        </is>
      </c>
      <c r="F147" s="2" t="inlineStr">
        <is>
          <t>IT</t>
        </is>
      </c>
      <c r="G147" s="4">
        <f>SUMIF(Prior_Year_TB!A:A,A147,Prior_Year_TB!F:F)</f>
        <v/>
      </c>
      <c r="H147" s="4">
        <f>SUMIF(Current_Year_TB!A:A,A147,Current_Year_TB!F:F)</f>
        <v/>
      </c>
      <c r="I147" s="4">
        <f>H147-G147</f>
        <v/>
      </c>
      <c r="J147" s="5">
        <f>IFERROR(I147/ABS(G147),"")</f>
        <v/>
      </c>
      <c r="K147" s="2" t="inlineStr">
        <is>
          <t>Decrease</t>
        </is>
      </c>
      <c r="L147" s="2" t="inlineStr">
        <is>
          <t>No</t>
        </is>
      </c>
      <c r="M147" s="2" t="inlineStr"/>
      <c r="N147" s="3" t="inlineStr"/>
      <c r="O147" s="3" t="inlineStr">
        <is>
          <t>Current-year balance decreased by $4,078 compared with prior year.</t>
        </is>
      </c>
    </row>
    <row r="148">
      <c r="A148" s="2" t="inlineStr">
        <is>
          <t>4032</t>
        </is>
      </c>
      <c r="B148" s="2" t="n">
        <v>147</v>
      </c>
      <c r="C148" s="2" t="inlineStr">
        <is>
          <t>4032</t>
        </is>
      </c>
      <c r="D148" s="2" t="inlineStr">
        <is>
          <t>Product Revenue - IT</t>
        </is>
      </c>
      <c r="E148" s="2" t="inlineStr">
        <is>
          <t>Revenue</t>
        </is>
      </c>
      <c r="F148" s="2" t="inlineStr">
        <is>
          <t>IT</t>
        </is>
      </c>
      <c r="G148" s="4">
        <f>SUMIF(Prior_Year_TB!A:A,A148,Prior_Year_TB!F:F)</f>
        <v/>
      </c>
      <c r="H148" s="4">
        <f>SUMIF(Current_Year_TB!A:A,A148,Current_Year_TB!F:F)</f>
        <v/>
      </c>
      <c r="I148" s="4">
        <f>H148-G148</f>
        <v/>
      </c>
      <c r="J148" s="5">
        <f>IFERROR(I148/ABS(G148),"")</f>
        <v/>
      </c>
      <c r="K148" s="2" t="inlineStr">
        <is>
          <t>Decrease</t>
        </is>
      </c>
      <c r="L148" s="2" t="inlineStr">
        <is>
          <t>No</t>
        </is>
      </c>
      <c r="M148" s="2" t="inlineStr"/>
      <c r="N148" s="3" t="inlineStr"/>
      <c r="O148" s="3" t="inlineStr">
        <is>
          <t>Current-year balance decreased by $3,985 compared with prior year.</t>
        </is>
      </c>
    </row>
    <row r="149">
      <c r="A149" s="2" t="inlineStr">
        <is>
          <t>4432</t>
        </is>
      </c>
      <c r="B149" s="2" t="n">
        <v>148</v>
      </c>
      <c r="C149" s="2" t="inlineStr">
        <is>
          <t>4432</t>
        </is>
      </c>
      <c r="D149" s="2" t="inlineStr">
        <is>
          <t>Returns and Allowances - Corporate</t>
        </is>
      </c>
      <c r="E149" s="2" t="inlineStr">
        <is>
          <t>Revenue</t>
        </is>
      </c>
      <c r="F149" s="2" t="inlineStr">
        <is>
          <t>Corporate</t>
        </is>
      </c>
      <c r="G149" s="4">
        <f>SUMIF(Prior_Year_TB!A:A,A149,Prior_Year_TB!F:F)</f>
        <v/>
      </c>
      <c r="H149" s="4">
        <f>SUMIF(Current_Year_TB!A:A,A149,Current_Year_TB!F:F)</f>
        <v/>
      </c>
      <c r="I149" s="4">
        <f>H149-G149</f>
        <v/>
      </c>
      <c r="J149" s="5">
        <f>IFERROR(I149/ABS(G149),"")</f>
        <v/>
      </c>
      <c r="K149" s="2" t="inlineStr">
        <is>
          <t>Increase</t>
        </is>
      </c>
      <c r="L149" s="2" t="inlineStr">
        <is>
          <t>No</t>
        </is>
      </c>
      <c r="M149" s="2" t="inlineStr"/>
      <c r="N149" s="3" t="inlineStr"/>
      <c r="O149" s="3" t="inlineStr">
        <is>
          <t>Current-year balance increased by $3,800 compared with prior year.</t>
        </is>
      </c>
    </row>
    <row r="150">
      <c r="A150" s="2" t="inlineStr">
        <is>
          <t>5182</t>
        </is>
      </c>
      <c r="B150" s="2" t="n">
        <v>149</v>
      </c>
      <c r="C150" s="2" t="inlineStr">
        <is>
          <t>5182</t>
        </is>
      </c>
      <c r="D150" s="2" t="inlineStr">
        <is>
          <t>Inventory Adjustments - IT</t>
        </is>
      </c>
      <c r="E150" s="2" t="inlineStr">
        <is>
          <t>COGS</t>
        </is>
      </c>
      <c r="F150" s="2" t="inlineStr">
        <is>
          <t>IT</t>
        </is>
      </c>
      <c r="G150" s="4">
        <f>SUMIF(Prior_Year_TB!A:A,A150,Prior_Year_TB!F:F)</f>
        <v/>
      </c>
      <c r="H150" s="4">
        <f>SUMIF(Current_Year_TB!A:A,A150,Current_Year_TB!F:F)</f>
        <v/>
      </c>
      <c r="I150" s="4">
        <f>H150-G150</f>
        <v/>
      </c>
      <c r="J150" s="5">
        <f>IFERROR(I150/ABS(G150),"")</f>
        <v/>
      </c>
      <c r="K150" s="2" t="inlineStr">
        <is>
          <t>Increase</t>
        </is>
      </c>
      <c r="L150" s="2" t="inlineStr">
        <is>
          <t>No</t>
        </is>
      </c>
      <c r="M150" s="2" t="inlineStr"/>
      <c r="N150" s="3" t="inlineStr"/>
      <c r="O150" s="3" t="inlineStr">
        <is>
          <t>Current-year balance increased by $3,789 compared with prior year.</t>
        </is>
      </c>
    </row>
    <row r="151">
      <c r="A151" s="2" t="inlineStr">
        <is>
          <t>6142</t>
        </is>
      </c>
      <c r="B151" s="2" t="n">
        <v>150</v>
      </c>
      <c r="C151" s="2" t="inlineStr">
        <is>
          <t>6142</t>
        </is>
      </c>
      <c r="D151" s="2" t="inlineStr">
        <is>
          <t>Insurance - IT</t>
        </is>
      </c>
      <c r="E151" s="2" t="inlineStr">
        <is>
          <t>Operating Expenses</t>
        </is>
      </c>
      <c r="F151" s="2" t="inlineStr">
        <is>
          <t>IT</t>
        </is>
      </c>
      <c r="G151" s="4">
        <f>SUMIF(Prior_Year_TB!A:A,A151,Prior_Year_TB!F:F)</f>
        <v/>
      </c>
      <c r="H151" s="4">
        <f>SUMIF(Current_Year_TB!A:A,A151,Current_Year_TB!F:F)</f>
        <v/>
      </c>
      <c r="I151" s="4">
        <f>H151-G151</f>
        <v/>
      </c>
      <c r="J151" s="5">
        <f>IFERROR(I151/ABS(G151),"")</f>
        <v/>
      </c>
      <c r="K151" s="2" t="inlineStr">
        <is>
          <t>Increase</t>
        </is>
      </c>
      <c r="L151" s="2" t="inlineStr">
        <is>
          <t>No</t>
        </is>
      </c>
      <c r="M151" s="2" t="inlineStr"/>
      <c r="N151" s="3" t="inlineStr"/>
      <c r="O151" s="3" t="inlineStr">
        <is>
          <t>Current-year balance increased by $3,711 compared with prior year.</t>
        </is>
      </c>
    </row>
    <row r="152">
      <c r="A152" s="2" t="inlineStr">
        <is>
          <t>6190</t>
        </is>
      </c>
      <c r="B152" s="2" t="n">
        <v>151</v>
      </c>
      <c r="C152" s="2" t="inlineStr">
        <is>
          <t>6190</t>
        </is>
      </c>
      <c r="D152" s="2" t="inlineStr">
        <is>
          <t>Office Supplies - IT</t>
        </is>
      </c>
      <c r="E152" s="2" t="inlineStr">
        <is>
          <t>Operating Expenses</t>
        </is>
      </c>
      <c r="F152" s="2" t="inlineStr">
        <is>
          <t>IT</t>
        </is>
      </c>
      <c r="G152" s="4">
        <f>SUMIF(Prior_Year_TB!A:A,A152,Prior_Year_TB!F:F)</f>
        <v/>
      </c>
      <c r="H152" s="4">
        <f>SUMIF(Current_Year_TB!A:A,A152,Current_Year_TB!F:F)</f>
        <v/>
      </c>
      <c r="I152" s="4">
        <f>H152-G152</f>
        <v/>
      </c>
      <c r="J152" s="5">
        <f>IFERROR(I152/ABS(G152),"")</f>
        <v/>
      </c>
      <c r="K152" s="2" t="inlineStr">
        <is>
          <t>Increase</t>
        </is>
      </c>
      <c r="L152" s="2" t="inlineStr">
        <is>
          <t>No</t>
        </is>
      </c>
      <c r="M152" s="2" t="inlineStr"/>
      <c r="N152" s="3" t="inlineStr"/>
      <c r="O152" s="3" t="inlineStr">
        <is>
          <t>Current-year balance increased by $3,709 compared with prior year.</t>
        </is>
      </c>
    </row>
    <row r="153">
      <c r="A153" s="2" t="inlineStr">
        <is>
          <t>7094</t>
        </is>
      </c>
      <c r="B153" s="2" t="n">
        <v>152</v>
      </c>
      <c r="C153" s="2" t="inlineStr">
        <is>
          <t>7094</t>
        </is>
      </c>
      <c r="D153" s="2" t="inlineStr">
        <is>
          <t>Interest Expense - IT</t>
        </is>
      </c>
      <c r="E153" s="2" t="inlineStr">
        <is>
          <t>Other Expense</t>
        </is>
      </c>
      <c r="F153" s="2" t="inlineStr">
        <is>
          <t>IT</t>
        </is>
      </c>
      <c r="G153" s="4">
        <f>SUMIF(Prior_Year_TB!A:A,A153,Prior_Year_TB!F:F)</f>
        <v/>
      </c>
      <c r="H153" s="4">
        <f>SUMIF(Current_Year_TB!A:A,A153,Current_Year_TB!F:F)</f>
        <v/>
      </c>
      <c r="I153" s="4">
        <f>H153-G153</f>
        <v/>
      </c>
      <c r="J153" s="5">
        <f>IFERROR(I153/ABS(G153),"")</f>
        <v/>
      </c>
      <c r="K153" s="2" t="inlineStr">
        <is>
          <t>Increase</t>
        </is>
      </c>
      <c r="L153" s="2" t="inlineStr">
        <is>
          <t>No</t>
        </is>
      </c>
      <c r="M153" s="2" t="inlineStr"/>
      <c r="N153" s="3" t="inlineStr"/>
      <c r="O153" s="3" t="inlineStr">
        <is>
          <t>Current-year balance increased by $3,530 compared with prior year.</t>
        </is>
      </c>
    </row>
    <row r="154">
      <c r="A154" s="2" t="inlineStr">
        <is>
          <t>5084</t>
        </is>
      </c>
      <c r="B154" s="2" t="n">
        <v>153</v>
      </c>
      <c r="C154" s="2" t="inlineStr">
        <is>
          <t>5084</t>
        </is>
      </c>
      <c r="D154" s="2" t="inlineStr">
        <is>
          <t>Materials - Warehouse</t>
        </is>
      </c>
      <c r="E154" s="2" t="inlineStr">
        <is>
          <t>COGS</t>
        </is>
      </c>
      <c r="F154" s="2" t="inlineStr">
        <is>
          <t>Warehouse</t>
        </is>
      </c>
      <c r="G154" s="4">
        <f>SUMIF(Prior_Year_TB!A:A,A154,Prior_Year_TB!F:F)</f>
        <v/>
      </c>
      <c r="H154" s="4">
        <f>SUMIF(Current_Year_TB!A:A,A154,Current_Year_TB!F:F)</f>
        <v/>
      </c>
      <c r="I154" s="4">
        <f>H154-G154</f>
        <v/>
      </c>
      <c r="J154" s="5">
        <f>IFERROR(I154/ABS(G154),"")</f>
        <v/>
      </c>
      <c r="K154" s="2" t="inlineStr">
        <is>
          <t>Increase</t>
        </is>
      </c>
      <c r="L154" s="2" t="inlineStr">
        <is>
          <t>No</t>
        </is>
      </c>
      <c r="M154" s="2" t="inlineStr"/>
      <c r="N154" s="3" t="inlineStr"/>
      <c r="O154" s="3" t="inlineStr">
        <is>
          <t>Current-year balance increased by $3,494 compared with prior year.</t>
        </is>
      </c>
    </row>
    <row r="155">
      <c r="A155" s="2" t="inlineStr">
        <is>
          <t>5250</t>
        </is>
      </c>
      <c r="B155" s="2" t="n">
        <v>154</v>
      </c>
      <c r="C155" s="2" t="inlineStr">
        <is>
          <t>5250</t>
        </is>
      </c>
      <c r="D155" s="2" t="inlineStr">
        <is>
          <t>Freight In - Corporate</t>
        </is>
      </c>
      <c r="E155" s="2" t="inlineStr">
        <is>
          <t>COGS</t>
        </is>
      </c>
      <c r="F155" s="2" t="inlineStr">
        <is>
          <t>Corporate</t>
        </is>
      </c>
      <c r="G155" s="4">
        <f>SUMIF(Prior_Year_TB!A:A,A155,Prior_Year_TB!F:F)</f>
        <v/>
      </c>
      <c r="H155" s="4">
        <f>SUMIF(Current_Year_TB!A:A,A155,Current_Year_TB!F:F)</f>
        <v/>
      </c>
      <c r="I155" s="4">
        <f>H155-G155</f>
        <v/>
      </c>
      <c r="J155" s="5">
        <f>IFERROR(I155/ABS(G155),"")</f>
        <v/>
      </c>
      <c r="K155" s="2" t="inlineStr">
        <is>
          <t>Increase</t>
        </is>
      </c>
      <c r="L155" s="2" t="inlineStr">
        <is>
          <t>No</t>
        </is>
      </c>
      <c r="M155" s="2" t="inlineStr"/>
      <c r="N155" s="3" t="inlineStr"/>
      <c r="O155" s="3" t="inlineStr">
        <is>
          <t>Current-year balance increased by $3,420 compared with prior year.</t>
        </is>
      </c>
    </row>
    <row r="156">
      <c r="A156" s="2" t="inlineStr">
        <is>
          <t>7214</t>
        </is>
      </c>
      <c r="B156" s="2" t="n">
        <v>155</v>
      </c>
      <c r="C156" s="2" t="inlineStr">
        <is>
          <t>7214</t>
        </is>
      </c>
      <c r="D156" s="2" t="inlineStr">
        <is>
          <t>Miscellaneous Expense - Warehouse</t>
        </is>
      </c>
      <c r="E156" s="2" t="inlineStr">
        <is>
          <t>Other Expense</t>
        </is>
      </c>
      <c r="F156" s="2" t="inlineStr">
        <is>
          <t>Warehouse</t>
        </is>
      </c>
      <c r="G156" s="4">
        <f>SUMIF(Prior_Year_TB!A:A,A156,Prior_Year_TB!F:F)</f>
        <v/>
      </c>
      <c r="H156" s="4">
        <f>SUMIF(Current_Year_TB!A:A,A156,Current_Year_TB!F:F)</f>
        <v/>
      </c>
      <c r="I156" s="4">
        <f>H156-G156</f>
        <v/>
      </c>
      <c r="J156" s="5">
        <f>IFERROR(I156/ABS(G156),"")</f>
        <v/>
      </c>
      <c r="K156" s="2" t="inlineStr">
        <is>
          <t>Decrease</t>
        </is>
      </c>
      <c r="L156" s="2" t="inlineStr">
        <is>
          <t>No</t>
        </is>
      </c>
      <c r="M156" s="2" t="inlineStr"/>
      <c r="N156" s="3" t="inlineStr"/>
      <c r="O156" s="3" t="inlineStr">
        <is>
          <t>Current-year balance decreased by $3,410 compared with prior year.</t>
        </is>
      </c>
    </row>
    <row r="157">
      <c r="A157" s="2" t="inlineStr">
        <is>
          <t>2132</t>
        </is>
      </c>
      <c r="B157" s="2" t="n">
        <v>156</v>
      </c>
      <c r="C157" s="2" t="inlineStr">
        <is>
          <t>2132</t>
        </is>
      </c>
      <c r="D157" s="2" t="inlineStr">
        <is>
          <t>Payroll Liabilities - IT</t>
        </is>
      </c>
      <c r="E157" s="2" t="inlineStr">
        <is>
          <t>Liabilities</t>
        </is>
      </c>
      <c r="F157" s="2" t="inlineStr">
        <is>
          <t>IT</t>
        </is>
      </c>
      <c r="G157" s="4">
        <f>SUMIF(Prior_Year_TB!A:A,A157,Prior_Year_TB!F:F)</f>
        <v/>
      </c>
      <c r="H157" s="4">
        <f>SUMIF(Current_Year_TB!A:A,A157,Current_Year_TB!F:F)</f>
        <v/>
      </c>
      <c r="I157" s="4">
        <f>H157-G157</f>
        <v/>
      </c>
      <c r="J157" s="5">
        <f>IFERROR(I157/ABS(G157),"")</f>
        <v/>
      </c>
      <c r="K157" s="2" t="inlineStr">
        <is>
          <t>Decrease</t>
        </is>
      </c>
      <c r="L157" s="2" t="inlineStr">
        <is>
          <t>No</t>
        </is>
      </c>
      <c r="M157" s="2" t="inlineStr"/>
      <c r="N157" s="3" t="inlineStr"/>
      <c r="O157" s="3" t="inlineStr">
        <is>
          <t>Current-year balance decreased by $3,353 compared with prior year.</t>
        </is>
      </c>
    </row>
    <row r="158">
      <c r="A158" s="2" t="inlineStr">
        <is>
          <t>1021</t>
        </is>
      </c>
      <c r="B158" s="2" t="n">
        <v>157</v>
      </c>
      <c r="C158" s="2" t="inlineStr">
        <is>
          <t>1021</t>
        </is>
      </c>
      <c r="D158" s="2" t="inlineStr">
        <is>
          <t>Fixed Assets - IT</t>
        </is>
      </c>
      <c r="E158" s="2" t="inlineStr">
        <is>
          <t>Assets</t>
        </is>
      </c>
      <c r="F158" s="2" t="inlineStr">
        <is>
          <t>IT</t>
        </is>
      </c>
      <c r="G158" s="4">
        <f>SUMIF(Prior_Year_TB!A:A,A158,Prior_Year_TB!F:F)</f>
        <v/>
      </c>
      <c r="H158" s="4">
        <f>SUMIF(Current_Year_TB!A:A,A158,Current_Year_TB!F:F)</f>
        <v/>
      </c>
      <c r="I158" s="4">
        <f>H158-G158</f>
        <v/>
      </c>
      <c r="J158" s="5">
        <f>IFERROR(I158/ABS(G158),"")</f>
        <v/>
      </c>
      <c r="K158" s="2" t="inlineStr">
        <is>
          <t>Decrease</t>
        </is>
      </c>
      <c r="L158" s="2" t="inlineStr">
        <is>
          <t>No</t>
        </is>
      </c>
      <c r="M158" s="2" t="inlineStr"/>
      <c r="N158" s="3" t="inlineStr"/>
      <c r="O158" s="3" t="inlineStr">
        <is>
          <t>Current-year balance decreased by $3,284 compared with prior year.</t>
        </is>
      </c>
    </row>
    <row r="159">
      <c r="A159" s="2" t="inlineStr">
        <is>
          <t>4263</t>
        </is>
      </c>
      <c r="B159" s="2" t="n">
        <v>158</v>
      </c>
      <c r="C159" s="2" t="inlineStr">
        <is>
          <t>4263</t>
        </is>
      </c>
      <c r="D159" s="2" t="inlineStr">
        <is>
          <t>Discounts - Admin</t>
        </is>
      </c>
      <c r="E159" s="2" t="inlineStr">
        <is>
          <t>Revenue</t>
        </is>
      </c>
      <c r="F159" s="2" t="inlineStr">
        <is>
          <t>Admin</t>
        </is>
      </c>
      <c r="G159" s="4">
        <f>SUMIF(Prior_Year_TB!A:A,A159,Prior_Year_TB!F:F)</f>
        <v/>
      </c>
      <c r="H159" s="4">
        <f>SUMIF(Current_Year_TB!A:A,A159,Current_Year_TB!F:F)</f>
        <v/>
      </c>
      <c r="I159" s="4">
        <f>H159-G159</f>
        <v/>
      </c>
      <c r="J159" s="5">
        <f>IFERROR(I159/ABS(G159),"")</f>
        <v/>
      </c>
      <c r="K159" s="2" t="inlineStr">
        <is>
          <t>Decrease</t>
        </is>
      </c>
      <c r="L159" s="2" t="inlineStr">
        <is>
          <t>No</t>
        </is>
      </c>
      <c r="M159" s="2" t="inlineStr"/>
      <c r="N159" s="3" t="inlineStr"/>
      <c r="O159" s="3" t="inlineStr">
        <is>
          <t>Current-year balance decreased by $3,223 compared with prior year.</t>
        </is>
      </c>
    </row>
    <row r="160">
      <c r="A160" s="2" t="inlineStr">
        <is>
          <t>4391</t>
        </is>
      </c>
      <c r="B160" s="2" t="n">
        <v>159</v>
      </c>
      <c r="C160" s="2" t="inlineStr">
        <is>
          <t>4391</t>
        </is>
      </c>
      <c r="D160" s="2" t="inlineStr">
        <is>
          <t>Product Revenue - IT</t>
        </is>
      </c>
      <c r="E160" s="2" t="inlineStr">
        <is>
          <t>Revenue</t>
        </is>
      </c>
      <c r="F160" s="2" t="inlineStr">
        <is>
          <t>IT</t>
        </is>
      </c>
      <c r="G160" s="4">
        <f>SUMIF(Prior_Year_TB!A:A,A160,Prior_Year_TB!F:F)</f>
        <v/>
      </c>
      <c r="H160" s="4">
        <f>SUMIF(Current_Year_TB!A:A,A160,Current_Year_TB!F:F)</f>
        <v/>
      </c>
      <c r="I160" s="4">
        <f>H160-G160</f>
        <v/>
      </c>
      <c r="J160" s="5">
        <f>IFERROR(I160/ABS(G160),"")</f>
        <v/>
      </c>
      <c r="K160" s="2" t="inlineStr">
        <is>
          <t>Increase</t>
        </is>
      </c>
      <c r="L160" s="2" t="inlineStr">
        <is>
          <t>No</t>
        </is>
      </c>
      <c r="M160" s="2" t="inlineStr"/>
      <c r="N160" s="3" t="inlineStr"/>
      <c r="O160" s="3" t="inlineStr">
        <is>
          <t>Current-year balance increased by $3,160 compared with prior year.</t>
        </is>
      </c>
    </row>
    <row r="161">
      <c r="A161" s="2" t="inlineStr">
        <is>
          <t>7204</t>
        </is>
      </c>
      <c r="B161" s="2" t="n">
        <v>160</v>
      </c>
      <c r="C161" s="2" t="inlineStr">
        <is>
          <t>7204</t>
        </is>
      </c>
      <c r="D161" s="2" t="inlineStr">
        <is>
          <t>Bank Fees - Admin</t>
        </is>
      </c>
      <c r="E161" s="2" t="inlineStr">
        <is>
          <t>Other Expense</t>
        </is>
      </c>
      <c r="F161" s="2" t="inlineStr">
        <is>
          <t>Admin</t>
        </is>
      </c>
      <c r="G161" s="4">
        <f>SUMIF(Prior_Year_TB!A:A,A161,Prior_Year_TB!F:F)</f>
        <v/>
      </c>
      <c r="H161" s="4">
        <f>SUMIF(Current_Year_TB!A:A,A161,Current_Year_TB!F:F)</f>
        <v/>
      </c>
      <c r="I161" s="4">
        <f>H161-G161</f>
        <v/>
      </c>
      <c r="J161" s="5">
        <f>IFERROR(I161/ABS(G161),"")</f>
        <v/>
      </c>
      <c r="K161" s="2" t="inlineStr">
        <is>
          <t>Decrease</t>
        </is>
      </c>
      <c r="L161" s="2" t="inlineStr">
        <is>
          <t>No</t>
        </is>
      </c>
      <c r="M161" s="2" t="inlineStr"/>
      <c r="N161" s="3" t="inlineStr"/>
      <c r="O161" s="3" t="inlineStr">
        <is>
          <t>Current-year balance decreased by $2,922 compared with prior year.</t>
        </is>
      </c>
    </row>
    <row r="162">
      <c r="A162" s="2" t="inlineStr">
        <is>
          <t>6081</t>
        </is>
      </c>
      <c r="B162" s="2" t="n">
        <v>161</v>
      </c>
      <c r="C162" s="2" t="inlineStr">
        <is>
          <t>6081</t>
        </is>
      </c>
      <c r="D162" s="2" t="inlineStr">
        <is>
          <t>Travel - Ops</t>
        </is>
      </c>
      <c r="E162" s="2" t="inlineStr">
        <is>
          <t>Operating Expenses</t>
        </is>
      </c>
      <c r="F162" s="2" t="inlineStr">
        <is>
          <t>Ops</t>
        </is>
      </c>
      <c r="G162" s="4">
        <f>SUMIF(Prior_Year_TB!A:A,A162,Prior_Year_TB!F:F)</f>
        <v/>
      </c>
      <c r="H162" s="4">
        <f>SUMIF(Current_Year_TB!A:A,A162,Current_Year_TB!F:F)</f>
        <v/>
      </c>
      <c r="I162" s="4">
        <f>H162-G162</f>
        <v/>
      </c>
      <c r="J162" s="5">
        <f>IFERROR(I162/ABS(G162),"")</f>
        <v/>
      </c>
      <c r="K162" s="2" t="inlineStr">
        <is>
          <t>Increase</t>
        </is>
      </c>
      <c r="L162" s="2" t="inlineStr">
        <is>
          <t>No</t>
        </is>
      </c>
      <c r="M162" s="2" t="inlineStr"/>
      <c r="N162" s="3" t="inlineStr"/>
      <c r="O162" s="3" t="inlineStr">
        <is>
          <t>Current-year balance increased by $2,905 compared with prior year.</t>
        </is>
      </c>
    </row>
    <row r="163">
      <c r="A163" s="2" t="inlineStr">
        <is>
          <t>5174</t>
        </is>
      </c>
      <c r="B163" s="2" t="n">
        <v>162</v>
      </c>
      <c r="C163" s="2" t="inlineStr">
        <is>
          <t>5174</t>
        </is>
      </c>
      <c r="D163" s="2" t="inlineStr">
        <is>
          <t>Freight In - Ops</t>
        </is>
      </c>
      <c r="E163" s="2" t="inlineStr">
        <is>
          <t>COGS</t>
        </is>
      </c>
      <c r="F163" s="2" t="inlineStr">
        <is>
          <t>Ops</t>
        </is>
      </c>
      <c r="G163" s="4">
        <f>SUMIF(Prior_Year_TB!A:A,A163,Prior_Year_TB!F:F)</f>
        <v/>
      </c>
      <c r="H163" s="4">
        <f>SUMIF(Current_Year_TB!A:A,A163,Current_Year_TB!F:F)</f>
        <v/>
      </c>
      <c r="I163" s="4">
        <f>H163-G163</f>
        <v/>
      </c>
      <c r="J163" s="5">
        <f>IFERROR(I163/ABS(G163),"")</f>
        <v/>
      </c>
      <c r="K163" s="2" t="inlineStr">
        <is>
          <t>Increase</t>
        </is>
      </c>
      <c r="L163" s="2" t="inlineStr">
        <is>
          <t>No</t>
        </is>
      </c>
      <c r="M163" s="2" t="inlineStr"/>
      <c r="N163" s="3" t="inlineStr"/>
      <c r="O163" s="3" t="inlineStr">
        <is>
          <t>Current-year balance increased by $2,812 compared with prior year.</t>
        </is>
      </c>
    </row>
    <row r="164">
      <c r="A164" s="2" t="inlineStr">
        <is>
          <t>5195</t>
        </is>
      </c>
      <c r="B164" s="2" t="n">
        <v>163</v>
      </c>
      <c r="C164" s="2" t="inlineStr">
        <is>
          <t>5195</t>
        </is>
      </c>
      <c r="D164" s="2" t="inlineStr">
        <is>
          <t>Materials - Corporate</t>
        </is>
      </c>
      <c r="E164" s="2" t="inlineStr">
        <is>
          <t>COGS</t>
        </is>
      </c>
      <c r="F164" s="2" t="inlineStr">
        <is>
          <t>Corporate</t>
        </is>
      </c>
      <c r="G164" s="4">
        <f>SUMIF(Prior_Year_TB!A:A,A164,Prior_Year_TB!F:F)</f>
        <v/>
      </c>
      <c r="H164" s="4">
        <f>SUMIF(Current_Year_TB!A:A,A164,Current_Year_TB!F:F)</f>
        <v/>
      </c>
      <c r="I164" s="4">
        <f>H164-G164</f>
        <v/>
      </c>
      <c r="J164" s="5">
        <f>IFERROR(I164/ABS(G164),"")</f>
        <v/>
      </c>
      <c r="K164" s="2" t="inlineStr">
        <is>
          <t>Increase</t>
        </is>
      </c>
      <c r="L164" s="2" t="inlineStr">
        <is>
          <t>No</t>
        </is>
      </c>
      <c r="M164" s="2" t="inlineStr"/>
      <c r="N164" s="3" t="inlineStr"/>
      <c r="O164" s="3" t="inlineStr">
        <is>
          <t>Current-year balance increased by $2,688 compared with prior year.</t>
        </is>
      </c>
    </row>
    <row r="165">
      <c r="A165" s="2" t="inlineStr">
        <is>
          <t>7130</t>
        </is>
      </c>
      <c r="B165" s="2" t="n">
        <v>164</v>
      </c>
      <c r="C165" s="2" t="inlineStr">
        <is>
          <t>7130</t>
        </is>
      </c>
      <c r="D165" s="2" t="inlineStr">
        <is>
          <t>Interest Expense - Ops</t>
        </is>
      </c>
      <c r="E165" s="2" t="inlineStr">
        <is>
          <t>Other Expense</t>
        </is>
      </c>
      <c r="F165" s="2" t="inlineStr">
        <is>
          <t>Ops</t>
        </is>
      </c>
      <c r="G165" s="4">
        <f>SUMIF(Prior_Year_TB!A:A,A165,Prior_Year_TB!F:F)</f>
        <v/>
      </c>
      <c r="H165" s="4">
        <f>SUMIF(Current_Year_TB!A:A,A165,Current_Year_TB!F:F)</f>
        <v/>
      </c>
      <c r="I165" s="4">
        <f>H165-G165</f>
        <v/>
      </c>
      <c r="J165" s="5">
        <f>IFERROR(I165/ABS(G165),"")</f>
        <v/>
      </c>
      <c r="K165" s="2" t="inlineStr">
        <is>
          <t>Increase</t>
        </is>
      </c>
      <c r="L165" s="2" t="inlineStr">
        <is>
          <t>No</t>
        </is>
      </c>
      <c r="M165" s="2" t="inlineStr"/>
      <c r="N165" s="3" t="inlineStr"/>
      <c r="O165" s="3" t="inlineStr">
        <is>
          <t>Current-year balance increased by $2,666 compared with prior year.</t>
        </is>
      </c>
    </row>
    <row r="166">
      <c r="A166" s="2" t="inlineStr">
        <is>
          <t>2145</t>
        </is>
      </c>
      <c r="B166" s="2" t="n">
        <v>165</v>
      </c>
      <c r="C166" s="2" t="inlineStr">
        <is>
          <t>2145</t>
        </is>
      </c>
      <c r="D166" s="2" t="inlineStr">
        <is>
          <t>Deferred Revenue - Ops</t>
        </is>
      </c>
      <c r="E166" s="2" t="inlineStr">
        <is>
          <t>Liabilities</t>
        </is>
      </c>
      <c r="F166" s="2" t="inlineStr">
        <is>
          <t>Ops</t>
        </is>
      </c>
      <c r="G166" s="4">
        <f>SUMIF(Prior_Year_TB!A:A,A166,Prior_Year_TB!F:F)</f>
        <v/>
      </c>
      <c r="H166" s="4">
        <f>SUMIF(Current_Year_TB!A:A,A166,Current_Year_TB!F:F)</f>
        <v/>
      </c>
      <c r="I166" s="4">
        <f>H166-G166</f>
        <v/>
      </c>
      <c r="J166" s="5">
        <f>IFERROR(I166/ABS(G166),"")</f>
        <v/>
      </c>
      <c r="K166" s="2" t="inlineStr">
        <is>
          <t>Decrease</t>
        </is>
      </c>
      <c r="L166" s="2" t="inlineStr">
        <is>
          <t>No</t>
        </is>
      </c>
      <c r="M166" s="2" t="inlineStr"/>
      <c r="N166" s="3" t="inlineStr"/>
      <c r="O166" s="3" t="inlineStr">
        <is>
          <t>Current-year balance decreased by $2,618 compared with prior year.</t>
        </is>
      </c>
    </row>
    <row r="167">
      <c r="A167" s="2" t="inlineStr">
        <is>
          <t>4085</t>
        </is>
      </c>
      <c r="B167" s="2" t="n">
        <v>166</v>
      </c>
      <c r="C167" s="2" t="inlineStr">
        <is>
          <t>4085</t>
        </is>
      </c>
      <c r="D167" s="2" t="inlineStr">
        <is>
          <t>Service Revenue - Admin</t>
        </is>
      </c>
      <c r="E167" s="2" t="inlineStr">
        <is>
          <t>Revenue</t>
        </is>
      </c>
      <c r="F167" s="2" t="inlineStr">
        <is>
          <t>Admin</t>
        </is>
      </c>
      <c r="G167" s="4">
        <f>SUMIF(Prior_Year_TB!A:A,A167,Prior_Year_TB!F:F)</f>
        <v/>
      </c>
      <c r="H167" s="4">
        <f>SUMIF(Current_Year_TB!A:A,A167,Current_Year_TB!F:F)</f>
        <v/>
      </c>
      <c r="I167" s="4">
        <f>H167-G167</f>
        <v/>
      </c>
      <c r="J167" s="5">
        <f>IFERROR(I167/ABS(G167),"")</f>
        <v/>
      </c>
      <c r="K167" s="2" t="inlineStr">
        <is>
          <t>Decrease</t>
        </is>
      </c>
      <c r="L167" s="2" t="inlineStr">
        <is>
          <t>No</t>
        </is>
      </c>
      <c r="M167" s="2" t="inlineStr"/>
      <c r="N167" s="3" t="inlineStr"/>
      <c r="O167" s="3" t="inlineStr">
        <is>
          <t>Current-year balance decreased by $2,526 compared with prior year.</t>
        </is>
      </c>
    </row>
    <row r="168">
      <c r="A168" s="2" t="inlineStr">
        <is>
          <t>4074</t>
        </is>
      </c>
      <c r="B168" s="2" t="n">
        <v>167</v>
      </c>
      <c r="C168" s="2" t="inlineStr">
        <is>
          <t>4074</t>
        </is>
      </c>
      <c r="D168" s="2" t="inlineStr">
        <is>
          <t>Returns and Allowances - Warehouse</t>
        </is>
      </c>
      <c r="E168" s="2" t="inlineStr">
        <is>
          <t>Revenue</t>
        </is>
      </c>
      <c r="F168" s="2" t="inlineStr">
        <is>
          <t>Warehouse</t>
        </is>
      </c>
      <c r="G168" s="4">
        <f>SUMIF(Prior_Year_TB!A:A,A168,Prior_Year_TB!F:F)</f>
        <v/>
      </c>
      <c r="H168" s="4">
        <f>SUMIF(Current_Year_TB!A:A,A168,Current_Year_TB!F:F)</f>
        <v/>
      </c>
      <c r="I168" s="4">
        <f>H168-G168</f>
        <v/>
      </c>
      <c r="J168" s="5">
        <f>IFERROR(I168/ABS(G168),"")</f>
        <v/>
      </c>
      <c r="K168" s="2" t="inlineStr">
        <is>
          <t>Decrease</t>
        </is>
      </c>
      <c r="L168" s="2" t="inlineStr">
        <is>
          <t>No</t>
        </is>
      </c>
      <c r="M168" s="2" t="inlineStr"/>
      <c r="N168" s="3" t="inlineStr"/>
      <c r="O168" s="3" t="inlineStr">
        <is>
          <t>Current-year balance decreased by $2,465 compared with prior year.</t>
        </is>
      </c>
    </row>
    <row r="169">
      <c r="A169" s="2" t="inlineStr">
        <is>
          <t>7051</t>
        </is>
      </c>
      <c r="B169" s="2" t="n">
        <v>168</v>
      </c>
      <c r="C169" s="2" t="inlineStr">
        <is>
          <t>7051</t>
        </is>
      </c>
      <c r="D169" s="2" t="inlineStr">
        <is>
          <t>Taxes and Licenses - IT</t>
        </is>
      </c>
      <c r="E169" s="2" t="inlineStr">
        <is>
          <t>Other Expense</t>
        </is>
      </c>
      <c r="F169" s="2" t="inlineStr">
        <is>
          <t>IT</t>
        </is>
      </c>
      <c r="G169" s="4">
        <f>SUMIF(Prior_Year_TB!A:A,A169,Prior_Year_TB!F:F)</f>
        <v/>
      </c>
      <c r="H169" s="4">
        <f>SUMIF(Current_Year_TB!A:A,A169,Current_Year_TB!F:F)</f>
        <v/>
      </c>
      <c r="I169" s="4">
        <f>H169-G169</f>
        <v/>
      </c>
      <c r="J169" s="5">
        <f>IFERROR(I169/ABS(G169),"")</f>
        <v/>
      </c>
      <c r="K169" s="2" t="inlineStr">
        <is>
          <t>Increase</t>
        </is>
      </c>
      <c r="L169" s="2" t="inlineStr">
        <is>
          <t>No</t>
        </is>
      </c>
      <c r="M169" s="2" t="inlineStr"/>
      <c r="N169" s="3" t="inlineStr"/>
      <c r="O169" s="3" t="inlineStr">
        <is>
          <t>Current-year balance increased by $2,390 compared with prior year.</t>
        </is>
      </c>
    </row>
    <row r="170">
      <c r="A170" s="2" t="inlineStr">
        <is>
          <t>5031</t>
        </is>
      </c>
      <c r="B170" s="2" t="n">
        <v>169</v>
      </c>
      <c r="C170" s="2" t="inlineStr">
        <is>
          <t>5031</t>
        </is>
      </c>
      <c r="D170" s="2" t="inlineStr">
        <is>
          <t>Freight In - Corporate</t>
        </is>
      </c>
      <c r="E170" s="2" t="inlineStr">
        <is>
          <t>COGS</t>
        </is>
      </c>
      <c r="F170" s="2" t="inlineStr">
        <is>
          <t>Corporate</t>
        </is>
      </c>
      <c r="G170" s="4">
        <f>SUMIF(Prior_Year_TB!A:A,A170,Prior_Year_TB!F:F)</f>
        <v/>
      </c>
      <c r="H170" s="4">
        <f>SUMIF(Current_Year_TB!A:A,A170,Current_Year_TB!F:F)</f>
        <v/>
      </c>
      <c r="I170" s="4">
        <f>H170-G170</f>
        <v/>
      </c>
      <c r="J170" s="5">
        <f>IFERROR(I170/ABS(G170),"")</f>
        <v/>
      </c>
      <c r="K170" s="2" t="inlineStr">
        <is>
          <t>Increase</t>
        </is>
      </c>
      <c r="L170" s="2" t="inlineStr">
        <is>
          <t>No</t>
        </is>
      </c>
      <c r="M170" s="2" t="inlineStr"/>
      <c r="N170" s="3" t="inlineStr"/>
      <c r="O170" s="3" t="inlineStr">
        <is>
          <t>Current-year balance increased by $2,313 compared with prior year.</t>
        </is>
      </c>
    </row>
    <row r="171">
      <c r="A171" s="2" t="inlineStr">
        <is>
          <t>6280</t>
        </is>
      </c>
      <c r="B171" s="2" t="n">
        <v>170</v>
      </c>
      <c r="C171" s="2" t="inlineStr">
        <is>
          <t>6280</t>
        </is>
      </c>
      <c r="D171" s="2" t="inlineStr">
        <is>
          <t>Marketing - Sales</t>
        </is>
      </c>
      <c r="E171" s="2" t="inlineStr">
        <is>
          <t>Operating Expenses</t>
        </is>
      </c>
      <c r="F171" s="2" t="inlineStr">
        <is>
          <t>Sales</t>
        </is>
      </c>
      <c r="G171" s="4">
        <f>SUMIF(Prior_Year_TB!A:A,A171,Prior_Year_TB!F:F)</f>
        <v/>
      </c>
      <c r="H171" s="4">
        <f>SUMIF(Current_Year_TB!A:A,A171,Current_Year_TB!F:F)</f>
        <v/>
      </c>
      <c r="I171" s="4">
        <f>H171-G171</f>
        <v/>
      </c>
      <c r="J171" s="5">
        <f>IFERROR(I171/ABS(G171),"")</f>
        <v/>
      </c>
      <c r="K171" s="2" t="inlineStr">
        <is>
          <t>Increase</t>
        </is>
      </c>
      <c r="L171" s="2" t="inlineStr">
        <is>
          <t>No</t>
        </is>
      </c>
      <c r="M171" s="2" t="inlineStr"/>
      <c r="N171" s="3" t="inlineStr"/>
      <c r="O171" s="3" t="inlineStr">
        <is>
          <t>Current-year balance increased by $2,251 compared with prior year.</t>
        </is>
      </c>
    </row>
    <row r="172">
      <c r="A172" s="2" t="inlineStr">
        <is>
          <t>1072</t>
        </is>
      </c>
      <c r="B172" s="2" t="n">
        <v>171</v>
      </c>
      <c r="C172" s="2" t="inlineStr">
        <is>
          <t>1072</t>
        </is>
      </c>
      <c r="D172" s="2" t="inlineStr">
        <is>
          <t>Accounts Receivable - Sales</t>
        </is>
      </c>
      <c r="E172" s="2" t="inlineStr">
        <is>
          <t>Assets</t>
        </is>
      </c>
      <c r="F172" s="2" t="inlineStr">
        <is>
          <t>Sales</t>
        </is>
      </c>
      <c r="G172" s="4">
        <f>SUMIF(Prior_Year_TB!A:A,A172,Prior_Year_TB!F:F)</f>
        <v/>
      </c>
      <c r="H172" s="4">
        <f>SUMIF(Current_Year_TB!A:A,A172,Current_Year_TB!F:F)</f>
        <v/>
      </c>
      <c r="I172" s="4">
        <f>H172-G172</f>
        <v/>
      </c>
      <c r="J172" s="5">
        <f>IFERROR(I172/ABS(G172),"")</f>
        <v/>
      </c>
      <c r="K172" s="2" t="inlineStr">
        <is>
          <t>Increase</t>
        </is>
      </c>
      <c r="L172" s="2" t="inlineStr">
        <is>
          <t>No</t>
        </is>
      </c>
      <c r="M172" s="2" t="inlineStr"/>
      <c r="N172" s="3" t="inlineStr"/>
      <c r="O172" s="3" t="inlineStr">
        <is>
          <t>Current-year balance increased by $2,220 compared with prior year.</t>
        </is>
      </c>
    </row>
    <row r="173">
      <c r="A173" s="2" t="inlineStr">
        <is>
          <t>3225</t>
        </is>
      </c>
      <c r="B173" s="2" t="n">
        <v>172</v>
      </c>
      <c r="C173" s="2" t="inlineStr">
        <is>
          <t>3225</t>
        </is>
      </c>
      <c r="D173" s="2" t="inlineStr">
        <is>
          <t>Current Year Earnings - IT</t>
        </is>
      </c>
      <c r="E173" s="2" t="inlineStr">
        <is>
          <t>Equity</t>
        </is>
      </c>
      <c r="F173" s="2" t="inlineStr">
        <is>
          <t>IT</t>
        </is>
      </c>
      <c r="G173" s="4">
        <f>SUMIF(Prior_Year_TB!A:A,A173,Prior_Year_TB!F:F)</f>
        <v/>
      </c>
      <c r="H173" s="4">
        <f>SUMIF(Current_Year_TB!A:A,A173,Current_Year_TB!F:F)</f>
        <v/>
      </c>
      <c r="I173" s="4">
        <f>H173-G173</f>
        <v/>
      </c>
      <c r="J173" s="5">
        <f>IFERROR(I173/ABS(G173),"")</f>
        <v/>
      </c>
      <c r="K173" s="2" t="inlineStr">
        <is>
          <t>Decrease</t>
        </is>
      </c>
      <c r="L173" s="2" t="inlineStr">
        <is>
          <t>No</t>
        </is>
      </c>
      <c r="M173" s="2" t="inlineStr"/>
      <c r="N173" s="3" t="inlineStr"/>
      <c r="O173" s="3" t="inlineStr">
        <is>
          <t>Current-year balance decreased by $2,194 compared with prior year.</t>
        </is>
      </c>
    </row>
    <row r="174">
      <c r="A174" s="2" t="inlineStr">
        <is>
          <t>4023</t>
        </is>
      </c>
      <c r="B174" s="2" t="n">
        <v>173</v>
      </c>
      <c r="C174" s="2" t="inlineStr">
        <is>
          <t>4023</t>
        </is>
      </c>
      <c r="D174" s="2" t="inlineStr">
        <is>
          <t>Product Revenue - Sales</t>
        </is>
      </c>
      <c r="E174" s="2" t="inlineStr">
        <is>
          <t>Revenue</t>
        </is>
      </c>
      <c r="F174" s="2" t="inlineStr">
        <is>
          <t>Sales</t>
        </is>
      </c>
      <c r="G174" s="4">
        <f>SUMIF(Prior_Year_TB!A:A,A174,Prior_Year_TB!F:F)</f>
        <v/>
      </c>
      <c r="H174" s="4">
        <f>SUMIF(Current_Year_TB!A:A,A174,Current_Year_TB!F:F)</f>
        <v/>
      </c>
      <c r="I174" s="4">
        <f>H174-G174</f>
        <v/>
      </c>
      <c r="J174" s="5">
        <f>IFERROR(I174/ABS(G174),"")</f>
        <v/>
      </c>
      <c r="K174" s="2" t="inlineStr">
        <is>
          <t>Decrease</t>
        </is>
      </c>
      <c r="L174" s="2" t="inlineStr">
        <is>
          <t>No</t>
        </is>
      </c>
      <c r="M174" s="2" t="inlineStr"/>
      <c r="N174" s="3" t="inlineStr"/>
      <c r="O174" s="3" t="inlineStr">
        <is>
          <t>Current-year balance decreased by $2,156 compared with prior year.</t>
        </is>
      </c>
    </row>
    <row r="175">
      <c r="A175" s="2" t="inlineStr">
        <is>
          <t>6012</t>
        </is>
      </c>
      <c r="B175" s="2" t="n">
        <v>174</v>
      </c>
      <c r="C175" s="2" t="inlineStr">
        <is>
          <t>6012</t>
        </is>
      </c>
      <c r="D175" s="2" t="inlineStr">
        <is>
          <t>Marketing - Sales</t>
        </is>
      </c>
      <c r="E175" s="2" t="inlineStr">
        <is>
          <t>Operating Expenses</t>
        </is>
      </c>
      <c r="F175" s="2" t="inlineStr">
        <is>
          <t>Sales</t>
        </is>
      </c>
      <c r="G175" s="4">
        <f>SUMIF(Prior_Year_TB!A:A,A175,Prior_Year_TB!F:F)</f>
        <v/>
      </c>
      <c r="H175" s="4">
        <f>SUMIF(Current_Year_TB!A:A,A175,Current_Year_TB!F:F)</f>
        <v/>
      </c>
      <c r="I175" s="4">
        <f>H175-G175</f>
        <v/>
      </c>
      <c r="J175" s="5">
        <f>IFERROR(I175/ABS(G175),"")</f>
        <v/>
      </c>
      <c r="K175" s="2" t="inlineStr">
        <is>
          <t>Increase</t>
        </is>
      </c>
      <c r="L175" s="2" t="inlineStr">
        <is>
          <t>No</t>
        </is>
      </c>
      <c r="M175" s="2" t="inlineStr"/>
      <c r="N175" s="3" t="inlineStr"/>
      <c r="O175" s="3" t="inlineStr">
        <is>
          <t>Current-year balance increased by $2,133 compared with prior year.</t>
        </is>
      </c>
    </row>
    <row r="176">
      <c r="A176" s="2" t="inlineStr">
        <is>
          <t>5264</t>
        </is>
      </c>
      <c r="B176" s="2" t="n">
        <v>175</v>
      </c>
      <c r="C176" s="2" t="inlineStr">
        <is>
          <t>5264</t>
        </is>
      </c>
      <c r="D176" s="2" t="inlineStr">
        <is>
          <t>Materials - Sales</t>
        </is>
      </c>
      <c r="E176" s="2" t="inlineStr">
        <is>
          <t>COGS</t>
        </is>
      </c>
      <c r="F176" s="2" t="inlineStr">
        <is>
          <t>Sales</t>
        </is>
      </c>
      <c r="G176" s="4">
        <f>SUMIF(Prior_Year_TB!A:A,A176,Prior_Year_TB!F:F)</f>
        <v/>
      </c>
      <c r="H176" s="4">
        <f>SUMIF(Current_Year_TB!A:A,A176,Current_Year_TB!F:F)</f>
        <v/>
      </c>
      <c r="I176" s="4">
        <f>H176-G176</f>
        <v/>
      </c>
      <c r="J176" s="5">
        <f>IFERROR(I176/ABS(G176),"")</f>
        <v/>
      </c>
      <c r="K176" s="2" t="inlineStr">
        <is>
          <t>Increase</t>
        </is>
      </c>
      <c r="L176" s="2" t="inlineStr">
        <is>
          <t>No</t>
        </is>
      </c>
      <c r="M176" s="2" t="inlineStr"/>
      <c r="N176" s="3" t="inlineStr"/>
      <c r="O176" s="3" t="inlineStr">
        <is>
          <t>Current-year balance increased by $2,098 compared with prior year.</t>
        </is>
      </c>
    </row>
    <row r="177">
      <c r="A177" s="2" t="inlineStr">
        <is>
          <t>6260</t>
        </is>
      </c>
      <c r="B177" s="2" t="n">
        <v>176</v>
      </c>
      <c r="C177" s="2" t="inlineStr">
        <is>
          <t>6260</t>
        </is>
      </c>
      <c r="D177" s="2" t="inlineStr">
        <is>
          <t>Salaries - Ops</t>
        </is>
      </c>
      <c r="E177" s="2" t="inlineStr">
        <is>
          <t>Operating Expenses</t>
        </is>
      </c>
      <c r="F177" s="2" t="inlineStr">
        <is>
          <t>Ops</t>
        </is>
      </c>
      <c r="G177" s="4">
        <f>SUMIF(Prior_Year_TB!A:A,A177,Prior_Year_TB!F:F)</f>
        <v/>
      </c>
      <c r="H177" s="4">
        <f>SUMIF(Current_Year_TB!A:A,A177,Current_Year_TB!F:F)</f>
        <v/>
      </c>
      <c r="I177" s="4">
        <f>H177-G177</f>
        <v/>
      </c>
      <c r="J177" s="5">
        <f>IFERROR(I177/ABS(G177),"")</f>
        <v/>
      </c>
      <c r="K177" s="2" t="inlineStr">
        <is>
          <t>Decrease</t>
        </is>
      </c>
      <c r="L177" s="2" t="inlineStr">
        <is>
          <t>No</t>
        </is>
      </c>
      <c r="M177" s="2" t="inlineStr"/>
      <c r="N177" s="3" t="inlineStr"/>
      <c r="O177" s="3" t="inlineStr">
        <is>
          <t>Current-year balance decreased by $2,072 compared with prior year.</t>
        </is>
      </c>
    </row>
    <row r="178">
      <c r="A178" s="2" t="inlineStr">
        <is>
          <t>1203</t>
        </is>
      </c>
      <c r="B178" s="2" t="n">
        <v>177</v>
      </c>
      <c r="C178" s="2" t="inlineStr">
        <is>
          <t>1203</t>
        </is>
      </c>
      <c r="D178" s="2" t="inlineStr">
        <is>
          <t>Accumulated Depreciation - Sales</t>
        </is>
      </c>
      <c r="E178" s="2" t="inlineStr">
        <is>
          <t>Assets</t>
        </is>
      </c>
      <c r="F178" s="2" t="inlineStr">
        <is>
          <t>Sales</t>
        </is>
      </c>
      <c r="G178" s="4">
        <f>SUMIF(Prior_Year_TB!A:A,A178,Prior_Year_TB!F:F)</f>
        <v/>
      </c>
      <c r="H178" s="4">
        <f>SUMIF(Current_Year_TB!A:A,A178,Current_Year_TB!F:F)</f>
        <v/>
      </c>
      <c r="I178" s="4">
        <f>H178-G178</f>
        <v/>
      </c>
      <c r="J178" s="5">
        <f>IFERROR(I178/ABS(G178),"")</f>
        <v/>
      </c>
      <c r="K178" s="2" t="inlineStr">
        <is>
          <t>Increase</t>
        </is>
      </c>
      <c r="L178" s="2" t="inlineStr">
        <is>
          <t>No</t>
        </is>
      </c>
      <c r="M178" s="2" t="inlineStr"/>
      <c r="N178" s="3" t="inlineStr"/>
      <c r="O178" s="3" t="inlineStr">
        <is>
          <t>Current-year balance increased by $2,067 compared with prior year.</t>
        </is>
      </c>
    </row>
    <row r="179">
      <c r="A179" s="2" t="inlineStr">
        <is>
          <t>4042</t>
        </is>
      </c>
      <c r="B179" s="2" t="n">
        <v>178</v>
      </c>
      <c r="C179" s="2" t="inlineStr">
        <is>
          <t>4042</t>
        </is>
      </c>
      <c r="D179" s="2" t="inlineStr">
        <is>
          <t>Other Income - Corporate</t>
        </is>
      </c>
      <c r="E179" s="2" t="inlineStr">
        <is>
          <t>Revenue</t>
        </is>
      </c>
      <c r="F179" s="2" t="inlineStr">
        <is>
          <t>Corporate</t>
        </is>
      </c>
      <c r="G179" s="4">
        <f>SUMIF(Prior_Year_TB!A:A,A179,Prior_Year_TB!F:F)</f>
        <v/>
      </c>
      <c r="H179" s="4">
        <f>SUMIF(Current_Year_TB!A:A,A179,Current_Year_TB!F:F)</f>
        <v/>
      </c>
      <c r="I179" s="4">
        <f>H179-G179</f>
        <v/>
      </c>
      <c r="J179" s="5">
        <f>IFERROR(I179/ABS(G179),"")</f>
        <v/>
      </c>
      <c r="K179" s="2" t="inlineStr">
        <is>
          <t>Increase</t>
        </is>
      </c>
      <c r="L179" s="2" t="inlineStr">
        <is>
          <t>No</t>
        </is>
      </c>
      <c r="M179" s="2" t="inlineStr"/>
      <c r="N179" s="3" t="inlineStr"/>
      <c r="O179" s="3" t="inlineStr">
        <is>
          <t>Current-year balance increased by $2,026 compared with prior year.</t>
        </is>
      </c>
    </row>
    <row r="180">
      <c r="A180" s="2" t="inlineStr">
        <is>
          <t>4185</t>
        </is>
      </c>
      <c r="B180" s="2" t="n">
        <v>179</v>
      </c>
      <c r="C180" s="2" t="inlineStr">
        <is>
          <t>4185</t>
        </is>
      </c>
      <c r="D180" s="2" t="inlineStr">
        <is>
          <t>Service Revenue - Sales</t>
        </is>
      </c>
      <c r="E180" s="2" t="inlineStr">
        <is>
          <t>Revenue</t>
        </is>
      </c>
      <c r="F180" s="2" t="inlineStr">
        <is>
          <t>Sales</t>
        </is>
      </c>
      <c r="G180" s="4">
        <f>SUMIF(Prior_Year_TB!A:A,A180,Prior_Year_TB!F:F)</f>
        <v/>
      </c>
      <c r="H180" s="4">
        <f>SUMIF(Current_Year_TB!A:A,A180,Current_Year_TB!F:F)</f>
        <v/>
      </c>
      <c r="I180" s="4">
        <f>H180-G180</f>
        <v/>
      </c>
      <c r="J180" s="5">
        <f>IFERROR(I180/ABS(G180),"")</f>
        <v/>
      </c>
      <c r="K180" s="2" t="inlineStr">
        <is>
          <t>Increase</t>
        </is>
      </c>
      <c r="L180" s="2" t="inlineStr">
        <is>
          <t>No</t>
        </is>
      </c>
      <c r="M180" s="2" t="inlineStr"/>
      <c r="N180" s="3" t="inlineStr"/>
      <c r="O180" s="3" t="inlineStr">
        <is>
          <t>Current-year balance increased by $2,024 compared with prior year.</t>
        </is>
      </c>
    </row>
    <row r="181">
      <c r="A181" s="2" t="inlineStr">
        <is>
          <t>6352</t>
        </is>
      </c>
      <c r="B181" s="2" t="n">
        <v>180</v>
      </c>
      <c r="C181" s="2" t="inlineStr">
        <is>
          <t>6352</t>
        </is>
      </c>
      <c r="D181" s="2" t="inlineStr">
        <is>
          <t>Insurance - Corporate</t>
        </is>
      </c>
      <c r="E181" s="2" t="inlineStr">
        <is>
          <t>Operating Expenses</t>
        </is>
      </c>
      <c r="F181" s="2" t="inlineStr">
        <is>
          <t>Corporate</t>
        </is>
      </c>
      <c r="G181" s="4">
        <f>SUMIF(Prior_Year_TB!A:A,A181,Prior_Year_TB!F:F)</f>
        <v/>
      </c>
      <c r="H181" s="4">
        <f>SUMIF(Current_Year_TB!A:A,A181,Current_Year_TB!F:F)</f>
        <v/>
      </c>
      <c r="I181" s="4">
        <f>H181-G181</f>
        <v/>
      </c>
      <c r="J181" s="5">
        <f>IFERROR(I181/ABS(G181),"")</f>
        <v/>
      </c>
      <c r="K181" s="2" t="inlineStr">
        <is>
          <t>Increase</t>
        </is>
      </c>
      <c r="L181" s="2" t="inlineStr">
        <is>
          <t>No</t>
        </is>
      </c>
      <c r="M181" s="2" t="inlineStr"/>
      <c r="N181" s="3" t="inlineStr"/>
      <c r="O181" s="3" t="inlineStr">
        <is>
          <t>Current-year balance increased by $1,940 compared with prior year.</t>
        </is>
      </c>
    </row>
    <row r="182">
      <c r="A182" s="2" t="inlineStr">
        <is>
          <t>6074</t>
        </is>
      </c>
      <c r="B182" s="2" t="n">
        <v>181</v>
      </c>
      <c r="C182" s="2" t="inlineStr">
        <is>
          <t>6074</t>
        </is>
      </c>
      <c r="D182" s="2" t="inlineStr">
        <is>
          <t>Software - Corporate</t>
        </is>
      </c>
      <c r="E182" s="2" t="inlineStr">
        <is>
          <t>Operating Expenses</t>
        </is>
      </c>
      <c r="F182" s="2" t="inlineStr">
        <is>
          <t>Corporate</t>
        </is>
      </c>
      <c r="G182" s="4">
        <f>SUMIF(Prior_Year_TB!A:A,A182,Prior_Year_TB!F:F)</f>
        <v/>
      </c>
      <c r="H182" s="4">
        <f>SUMIF(Current_Year_TB!A:A,A182,Current_Year_TB!F:F)</f>
        <v/>
      </c>
      <c r="I182" s="4">
        <f>H182-G182</f>
        <v/>
      </c>
      <c r="J182" s="5">
        <f>IFERROR(I182/ABS(G182),"")</f>
        <v/>
      </c>
      <c r="K182" s="2" t="inlineStr">
        <is>
          <t>Increase</t>
        </is>
      </c>
      <c r="L182" s="2" t="inlineStr">
        <is>
          <t>No</t>
        </is>
      </c>
      <c r="M182" s="2" t="inlineStr"/>
      <c r="N182" s="3" t="inlineStr"/>
      <c r="O182" s="3" t="inlineStr">
        <is>
          <t>Current-year balance increased by $1,918 compared with prior year.</t>
        </is>
      </c>
    </row>
    <row r="183">
      <c r="A183" s="2" t="inlineStr">
        <is>
          <t>4242</t>
        </is>
      </c>
      <c r="B183" s="2" t="n">
        <v>182</v>
      </c>
      <c r="C183" s="2" t="inlineStr">
        <is>
          <t>4242</t>
        </is>
      </c>
      <c r="D183" s="2" t="inlineStr">
        <is>
          <t>Product Revenue - IT</t>
        </is>
      </c>
      <c r="E183" s="2" t="inlineStr">
        <is>
          <t>Revenue</t>
        </is>
      </c>
      <c r="F183" s="2" t="inlineStr">
        <is>
          <t>IT</t>
        </is>
      </c>
      <c r="G183" s="4">
        <f>SUMIF(Prior_Year_TB!A:A,A183,Prior_Year_TB!F:F)</f>
        <v/>
      </c>
      <c r="H183" s="4">
        <f>SUMIF(Current_Year_TB!A:A,A183,Current_Year_TB!F:F)</f>
        <v/>
      </c>
      <c r="I183" s="4">
        <f>H183-G183</f>
        <v/>
      </c>
      <c r="J183" s="5">
        <f>IFERROR(I183/ABS(G183),"")</f>
        <v/>
      </c>
      <c r="K183" s="2" t="inlineStr">
        <is>
          <t>Increase</t>
        </is>
      </c>
      <c r="L183" s="2" t="inlineStr">
        <is>
          <t>No</t>
        </is>
      </c>
      <c r="M183" s="2" t="inlineStr"/>
      <c r="N183" s="3" t="inlineStr"/>
      <c r="O183" s="3" t="inlineStr">
        <is>
          <t>Current-year balance increased by $1,887 compared with prior year.</t>
        </is>
      </c>
    </row>
    <row r="184">
      <c r="A184" s="2" t="inlineStr">
        <is>
          <t>3153</t>
        </is>
      </c>
      <c r="B184" s="2" t="n">
        <v>183</v>
      </c>
      <c r="C184" s="2" t="inlineStr">
        <is>
          <t>3153</t>
        </is>
      </c>
      <c r="D184" s="2" t="inlineStr">
        <is>
          <t>Distributions - IT</t>
        </is>
      </c>
      <c r="E184" s="2" t="inlineStr">
        <is>
          <t>Equity</t>
        </is>
      </c>
      <c r="F184" s="2" t="inlineStr">
        <is>
          <t>IT</t>
        </is>
      </c>
      <c r="G184" s="4">
        <f>SUMIF(Prior_Year_TB!A:A,A184,Prior_Year_TB!F:F)</f>
        <v/>
      </c>
      <c r="H184" s="4">
        <f>SUMIF(Current_Year_TB!A:A,A184,Current_Year_TB!F:F)</f>
        <v/>
      </c>
      <c r="I184" s="4">
        <f>H184-G184</f>
        <v/>
      </c>
      <c r="J184" s="5">
        <f>IFERROR(I184/ABS(G184),"")</f>
        <v/>
      </c>
      <c r="K184" s="2" t="inlineStr">
        <is>
          <t>Decrease</t>
        </is>
      </c>
      <c r="L184" s="2" t="inlineStr">
        <is>
          <t>No</t>
        </is>
      </c>
      <c r="M184" s="2" t="inlineStr"/>
      <c r="N184" s="3" t="inlineStr"/>
      <c r="O184" s="3" t="inlineStr">
        <is>
          <t>Current-year balance decreased by $1,859 compared with prior year.</t>
        </is>
      </c>
    </row>
    <row r="185">
      <c r="A185" s="2" t="inlineStr">
        <is>
          <t>7233</t>
        </is>
      </c>
      <c r="B185" s="2" t="n">
        <v>184</v>
      </c>
      <c r="C185" s="2" t="inlineStr">
        <is>
          <t>7233</t>
        </is>
      </c>
      <c r="D185" s="2" t="inlineStr">
        <is>
          <t>Taxes and Licenses - Warehouse</t>
        </is>
      </c>
      <c r="E185" s="2" t="inlineStr">
        <is>
          <t>Other Expense</t>
        </is>
      </c>
      <c r="F185" s="2" t="inlineStr">
        <is>
          <t>Warehouse</t>
        </is>
      </c>
      <c r="G185" s="4">
        <f>SUMIF(Prior_Year_TB!A:A,A185,Prior_Year_TB!F:F)</f>
        <v/>
      </c>
      <c r="H185" s="4">
        <f>SUMIF(Current_Year_TB!A:A,A185,Current_Year_TB!F:F)</f>
        <v/>
      </c>
      <c r="I185" s="4">
        <f>H185-G185</f>
        <v/>
      </c>
      <c r="J185" s="5">
        <f>IFERROR(I185/ABS(G185),"")</f>
        <v/>
      </c>
      <c r="K185" s="2" t="inlineStr">
        <is>
          <t>Increase</t>
        </is>
      </c>
      <c r="L185" s="2" t="inlineStr">
        <is>
          <t>No</t>
        </is>
      </c>
      <c r="M185" s="2" t="inlineStr"/>
      <c r="N185" s="3" t="inlineStr"/>
      <c r="O185" s="3" t="inlineStr">
        <is>
          <t>Current-year balance increased by $1,859 compared with prior year.</t>
        </is>
      </c>
    </row>
    <row r="186">
      <c r="A186" s="2" t="inlineStr">
        <is>
          <t>5145</t>
        </is>
      </c>
      <c r="B186" s="2" t="n">
        <v>185</v>
      </c>
      <c r="C186" s="2" t="inlineStr">
        <is>
          <t>5145</t>
        </is>
      </c>
      <c r="D186" s="2" t="inlineStr">
        <is>
          <t>Inventory Adjustments - Admin</t>
        </is>
      </c>
      <c r="E186" s="2" t="inlineStr">
        <is>
          <t>COGS</t>
        </is>
      </c>
      <c r="F186" s="2" t="inlineStr">
        <is>
          <t>Admin</t>
        </is>
      </c>
      <c r="G186" s="4">
        <f>SUMIF(Prior_Year_TB!A:A,A186,Prior_Year_TB!F:F)</f>
        <v/>
      </c>
      <c r="H186" s="4">
        <f>SUMIF(Current_Year_TB!A:A,A186,Current_Year_TB!F:F)</f>
        <v/>
      </c>
      <c r="I186" s="4">
        <f>H186-G186</f>
        <v/>
      </c>
      <c r="J186" s="5">
        <f>IFERROR(I186/ABS(G186),"")</f>
        <v/>
      </c>
      <c r="K186" s="2" t="inlineStr">
        <is>
          <t>Increase</t>
        </is>
      </c>
      <c r="L186" s="2" t="inlineStr">
        <is>
          <t>No</t>
        </is>
      </c>
      <c r="M186" s="2" t="inlineStr"/>
      <c r="N186" s="3" t="inlineStr"/>
      <c r="O186" s="3" t="inlineStr">
        <is>
          <t>Current-year balance increased by $1,767 compared with prior year.</t>
        </is>
      </c>
    </row>
    <row r="187">
      <c r="A187" s="2" t="inlineStr">
        <is>
          <t>6303</t>
        </is>
      </c>
      <c r="B187" s="2" t="n">
        <v>186</v>
      </c>
      <c r="C187" s="2" t="inlineStr">
        <is>
          <t>6303</t>
        </is>
      </c>
      <c r="D187" s="2" t="inlineStr">
        <is>
          <t>Rent - Corporate</t>
        </is>
      </c>
      <c r="E187" s="2" t="inlineStr">
        <is>
          <t>Operating Expenses</t>
        </is>
      </c>
      <c r="F187" s="2" t="inlineStr">
        <is>
          <t>Corporate</t>
        </is>
      </c>
      <c r="G187" s="4">
        <f>SUMIF(Prior_Year_TB!A:A,A187,Prior_Year_TB!F:F)</f>
        <v/>
      </c>
      <c r="H187" s="4">
        <f>SUMIF(Current_Year_TB!A:A,A187,Current_Year_TB!F:F)</f>
        <v/>
      </c>
      <c r="I187" s="4">
        <f>H187-G187</f>
        <v/>
      </c>
      <c r="J187" s="5">
        <f>IFERROR(I187/ABS(G187),"")</f>
        <v/>
      </c>
      <c r="K187" s="2" t="inlineStr">
        <is>
          <t>Increase</t>
        </is>
      </c>
      <c r="L187" s="2" t="inlineStr">
        <is>
          <t>No</t>
        </is>
      </c>
      <c r="M187" s="2" t="inlineStr"/>
      <c r="N187" s="3" t="inlineStr"/>
      <c r="O187" s="3" t="inlineStr">
        <is>
          <t>Current-year balance increased by $1,765 compared with prior year.</t>
        </is>
      </c>
    </row>
    <row r="188">
      <c r="A188" s="2" t="inlineStr">
        <is>
          <t>5270</t>
        </is>
      </c>
      <c r="B188" s="2" t="n">
        <v>187</v>
      </c>
      <c r="C188" s="2" t="inlineStr">
        <is>
          <t>5270</t>
        </is>
      </c>
      <c r="D188" s="2" t="inlineStr">
        <is>
          <t>Inventory Adjustments - Ops</t>
        </is>
      </c>
      <c r="E188" s="2" t="inlineStr">
        <is>
          <t>COGS</t>
        </is>
      </c>
      <c r="F188" s="2" t="inlineStr">
        <is>
          <t>Ops</t>
        </is>
      </c>
      <c r="G188" s="4">
        <f>SUMIF(Prior_Year_TB!A:A,A188,Prior_Year_TB!F:F)</f>
        <v/>
      </c>
      <c r="H188" s="4">
        <f>SUMIF(Current_Year_TB!A:A,A188,Current_Year_TB!F:F)</f>
        <v/>
      </c>
      <c r="I188" s="4">
        <f>H188-G188</f>
        <v/>
      </c>
      <c r="J188" s="5">
        <f>IFERROR(I188/ABS(G188),"")</f>
        <v/>
      </c>
      <c r="K188" s="2" t="inlineStr">
        <is>
          <t>Decrease</t>
        </is>
      </c>
      <c r="L188" s="2" t="inlineStr">
        <is>
          <t>No</t>
        </is>
      </c>
      <c r="M188" s="2" t="inlineStr"/>
      <c r="N188" s="3" t="inlineStr"/>
      <c r="O188" s="3" t="inlineStr">
        <is>
          <t>Current-year balance decreased by $1,726 compared with prior year.</t>
        </is>
      </c>
    </row>
    <row r="189">
      <c r="A189" s="2" t="inlineStr">
        <is>
          <t>7011</t>
        </is>
      </c>
      <c r="B189" s="2" t="n">
        <v>188</v>
      </c>
      <c r="C189" s="2" t="inlineStr">
        <is>
          <t>7011</t>
        </is>
      </c>
      <c r="D189" s="2" t="inlineStr">
        <is>
          <t>Taxes and Licenses - Ops</t>
        </is>
      </c>
      <c r="E189" s="2" t="inlineStr">
        <is>
          <t>Other Expense</t>
        </is>
      </c>
      <c r="F189" s="2" t="inlineStr">
        <is>
          <t>Ops</t>
        </is>
      </c>
      <c r="G189" s="4">
        <f>SUMIF(Prior_Year_TB!A:A,A189,Prior_Year_TB!F:F)</f>
        <v/>
      </c>
      <c r="H189" s="4">
        <f>SUMIF(Current_Year_TB!A:A,A189,Current_Year_TB!F:F)</f>
        <v/>
      </c>
      <c r="I189" s="4">
        <f>H189-G189</f>
        <v/>
      </c>
      <c r="J189" s="5">
        <f>IFERROR(I189/ABS(G189),"")</f>
        <v/>
      </c>
      <c r="K189" s="2" t="inlineStr">
        <is>
          <t>Decrease</t>
        </is>
      </c>
      <c r="L189" s="2" t="inlineStr">
        <is>
          <t>No</t>
        </is>
      </c>
      <c r="M189" s="2" t="inlineStr"/>
      <c r="N189" s="3" t="inlineStr"/>
      <c r="O189" s="3" t="inlineStr">
        <is>
          <t>Current-year balance decreased by $1,671 compared with prior year.</t>
        </is>
      </c>
    </row>
    <row r="190">
      <c r="A190" s="2" t="inlineStr">
        <is>
          <t>1081</t>
        </is>
      </c>
      <c r="B190" s="2" t="n">
        <v>189</v>
      </c>
      <c r="C190" s="2" t="inlineStr">
        <is>
          <t>1081</t>
        </is>
      </c>
      <c r="D190" s="2" t="inlineStr">
        <is>
          <t>Accumulated Depreciation - Ops</t>
        </is>
      </c>
      <c r="E190" s="2" t="inlineStr">
        <is>
          <t>Assets</t>
        </is>
      </c>
      <c r="F190" s="2" t="inlineStr">
        <is>
          <t>Ops</t>
        </is>
      </c>
      <c r="G190" s="4">
        <f>SUMIF(Prior_Year_TB!A:A,A190,Prior_Year_TB!F:F)</f>
        <v/>
      </c>
      <c r="H190" s="4">
        <f>SUMIF(Current_Year_TB!A:A,A190,Current_Year_TB!F:F)</f>
        <v/>
      </c>
      <c r="I190" s="4">
        <f>H190-G190</f>
        <v/>
      </c>
      <c r="J190" s="5">
        <f>IFERROR(I190/ABS(G190),"")</f>
        <v/>
      </c>
      <c r="K190" s="2" t="inlineStr">
        <is>
          <t>Increase</t>
        </is>
      </c>
      <c r="L190" s="2" t="inlineStr">
        <is>
          <t>No</t>
        </is>
      </c>
      <c r="M190" s="2" t="inlineStr"/>
      <c r="N190" s="3" t="inlineStr"/>
      <c r="O190" s="3" t="inlineStr">
        <is>
          <t>Current-year balance increased by $1,600 compared with prior year.</t>
        </is>
      </c>
    </row>
    <row r="191">
      <c r="A191" s="2" t="inlineStr">
        <is>
          <t>4343</t>
        </is>
      </c>
      <c r="B191" s="2" t="n">
        <v>190</v>
      </c>
      <c r="C191" s="2" t="inlineStr">
        <is>
          <t>4343</t>
        </is>
      </c>
      <c r="D191" s="2" t="inlineStr">
        <is>
          <t>Returns and Allowances - Corporate</t>
        </is>
      </c>
      <c r="E191" s="2" t="inlineStr">
        <is>
          <t>Revenue</t>
        </is>
      </c>
      <c r="F191" s="2" t="inlineStr">
        <is>
          <t>Corporate</t>
        </is>
      </c>
      <c r="G191" s="4">
        <f>SUMIF(Prior_Year_TB!A:A,A191,Prior_Year_TB!F:F)</f>
        <v/>
      </c>
      <c r="H191" s="4">
        <f>SUMIF(Current_Year_TB!A:A,A191,Current_Year_TB!F:F)</f>
        <v/>
      </c>
      <c r="I191" s="4">
        <f>H191-G191</f>
        <v/>
      </c>
      <c r="J191" s="5">
        <f>IFERROR(I191/ABS(G191),"")</f>
        <v/>
      </c>
      <c r="K191" s="2" t="inlineStr">
        <is>
          <t>Decrease</t>
        </is>
      </c>
      <c r="L191" s="2" t="inlineStr">
        <is>
          <t>No</t>
        </is>
      </c>
      <c r="M191" s="2" t="inlineStr"/>
      <c r="N191" s="3" t="inlineStr"/>
      <c r="O191" s="3" t="inlineStr">
        <is>
          <t>Current-year balance decreased by $1,595 compared with prior year.</t>
        </is>
      </c>
    </row>
    <row r="192">
      <c r="A192" s="2" t="inlineStr">
        <is>
          <t>3182</t>
        </is>
      </c>
      <c r="B192" s="2" t="n">
        <v>191</v>
      </c>
      <c r="C192" s="2" t="inlineStr">
        <is>
          <t>3182</t>
        </is>
      </c>
      <c r="D192" s="2" t="inlineStr">
        <is>
          <t>Distributions - IT</t>
        </is>
      </c>
      <c r="E192" s="2" t="inlineStr">
        <is>
          <t>Equity</t>
        </is>
      </c>
      <c r="F192" s="2" t="inlineStr">
        <is>
          <t>IT</t>
        </is>
      </c>
      <c r="G192" s="4">
        <f>SUMIF(Prior_Year_TB!A:A,A192,Prior_Year_TB!F:F)</f>
        <v/>
      </c>
      <c r="H192" s="4">
        <f>SUMIF(Current_Year_TB!A:A,A192,Current_Year_TB!F:F)</f>
        <v/>
      </c>
      <c r="I192" s="4">
        <f>H192-G192</f>
        <v/>
      </c>
      <c r="J192" s="5">
        <f>IFERROR(I192/ABS(G192),"")</f>
        <v/>
      </c>
      <c r="K192" s="2" t="inlineStr">
        <is>
          <t>Increase</t>
        </is>
      </c>
      <c r="L192" s="2" t="inlineStr">
        <is>
          <t>No</t>
        </is>
      </c>
      <c r="M192" s="2" t="inlineStr"/>
      <c r="N192" s="3" t="inlineStr"/>
      <c r="O192" s="3" t="inlineStr">
        <is>
          <t>Current-year balance increased by $1,580 compared with prior year.</t>
        </is>
      </c>
    </row>
    <row r="193">
      <c r="A193" s="2" t="inlineStr">
        <is>
          <t>4205</t>
        </is>
      </c>
      <c r="B193" s="2" t="n">
        <v>192</v>
      </c>
      <c r="C193" s="2" t="inlineStr">
        <is>
          <t>4205</t>
        </is>
      </c>
      <c r="D193" s="2" t="inlineStr">
        <is>
          <t>Product Revenue - IT</t>
        </is>
      </c>
      <c r="E193" s="2" t="inlineStr">
        <is>
          <t>Revenue</t>
        </is>
      </c>
      <c r="F193" s="2" t="inlineStr">
        <is>
          <t>IT</t>
        </is>
      </c>
      <c r="G193" s="4">
        <f>SUMIF(Prior_Year_TB!A:A,A193,Prior_Year_TB!F:F)</f>
        <v/>
      </c>
      <c r="H193" s="4">
        <f>SUMIF(Current_Year_TB!A:A,A193,Current_Year_TB!F:F)</f>
        <v/>
      </c>
      <c r="I193" s="4">
        <f>H193-G193</f>
        <v/>
      </c>
      <c r="J193" s="5">
        <f>IFERROR(I193/ABS(G193),"")</f>
        <v/>
      </c>
      <c r="K193" s="2" t="inlineStr">
        <is>
          <t>Increase</t>
        </is>
      </c>
      <c r="L193" s="2" t="inlineStr">
        <is>
          <t>No</t>
        </is>
      </c>
      <c r="M193" s="2" t="inlineStr"/>
      <c r="N193" s="3" t="inlineStr"/>
      <c r="O193" s="3" t="inlineStr">
        <is>
          <t>Current-year balance increased by $1,508 compared with prior year.</t>
        </is>
      </c>
    </row>
    <row r="194">
      <c r="A194" s="2" t="inlineStr">
        <is>
          <t>4100</t>
        </is>
      </c>
      <c r="B194" s="2" t="n">
        <v>193</v>
      </c>
      <c r="C194" s="2" t="inlineStr">
        <is>
          <t>4100</t>
        </is>
      </c>
      <c r="D194" s="2" t="inlineStr">
        <is>
          <t>Other Income - Sales</t>
        </is>
      </c>
      <c r="E194" s="2" t="inlineStr">
        <is>
          <t>Revenue</t>
        </is>
      </c>
      <c r="F194" s="2" t="inlineStr">
        <is>
          <t>Sales</t>
        </is>
      </c>
      <c r="G194" s="4">
        <f>SUMIF(Prior_Year_TB!A:A,A194,Prior_Year_TB!F:F)</f>
        <v/>
      </c>
      <c r="H194" s="4">
        <f>SUMIF(Current_Year_TB!A:A,A194,Current_Year_TB!F:F)</f>
        <v/>
      </c>
      <c r="I194" s="4">
        <f>H194-G194</f>
        <v/>
      </c>
      <c r="J194" s="5">
        <f>IFERROR(I194/ABS(G194),"")</f>
        <v/>
      </c>
      <c r="K194" s="2" t="inlineStr">
        <is>
          <t>Decrease</t>
        </is>
      </c>
      <c r="L194" s="2" t="inlineStr">
        <is>
          <t>No</t>
        </is>
      </c>
      <c r="M194" s="2" t="inlineStr"/>
      <c r="N194" s="3" t="inlineStr"/>
      <c r="O194" s="3" t="inlineStr">
        <is>
          <t>Current-year balance decreased by $1,506 compared with prior year.</t>
        </is>
      </c>
    </row>
    <row r="195">
      <c r="A195" s="2" t="inlineStr">
        <is>
          <t>1130</t>
        </is>
      </c>
      <c r="B195" s="2" t="n">
        <v>194</v>
      </c>
      <c r="C195" s="2" t="inlineStr">
        <is>
          <t>1130</t>
        </is>
      </c>
      <c r="D195" s="2" t="inlineStr">
        <is>
          <t>Prepaid Expense - Warehouse</t>
        </is>
      </c>
      <c r="E195" s="2" t="inlineStr">
        <is>
          <t>Assets</t>
        </is>
      </c>
      <c r="F195" s="2" t="inlineStr">
        <is>
          <t>Warehouse</t>
        </is>
      </c>
      <c r="G195" s="4">
        <f>SUMIF(Prior_Year_TB!A:A,A195,Prior_Year_TB!F:F)</f>
        <v/>
      </c>
      <c r="H195" s="4">
        <f>SUMIF(Current_Year_TB!A:A,A195,Current_Year_TB!F:F)</f>
        <v/>
      </c>
      <c r="I195" s="4">
        <f>H195-G195</f>
        <v/>
      </c>
      <c r="J195" s="5">
        <f>IFERROR(I195/ABS(G195),"")</f>
        <v/>
      </c>
      <c r="K195" s="2" t="inlineStr">
        <is>
          <t>Increase</t>
        </is>
      </c>
      <c r="L195" s="2" t="inlineStr">
        <is>
          <t>No</t>
        </is>
      </c>
      <c r="M195" s="2" t="inlineStr"/>
      <c r="N195" s="3" t="inlineStr"/>
      <c r="O195" s="3" t="inlineStr">
        <is>
          <t>Current-year balance increased by $1,488 compared with prior year.</t>
        </is>
      </c>
    </row>
    <row r="196">
      <c r="A196" s="2" t="inlineStr">
        <is>
          <t>4170</t>
        </is>
      </c>
      <c r="B196" s="2" t="n">
        <v>195</v>
      </c>
      <c r="C196" s="2" t="inlineStr">
        <is>
          <t>4170</t>
        </is>
      </c>
      <c r="D196" s="2" t="inlineStr">
        <is>
          <t>Returns and Allowances - Sales</t>
        </is>
      </c>
      <c r="E196" s="2" t="inlineStr">
        <is>
          <t>Revenue</t>
        </is>
      </c>
      <c r="F196" s="2" t="inlineStr">
        <is>
          <t>Sales</t>
        </is>
      </c>
      <c r="G196" s="4">
        <f>SUMIF(Prior_Year_TB!A:A,A196,Prior_Year_TB!F:F)</f>
        <v/>
      </c>
      <c r="H196" s="4">
        <f>SUMIF(Current_Year_TB!A:A,A196,Current_Year_TB!F:F)</f>
        <v/>
      </c>
      <c r="I196" s="4">
        <f>H196-G196</f>
        <v/>
      </c>
      <c r="J196" s="5">
        <f>IFERROR(I196/ABS(G196),"")</f>
        <v/>
      </c>
      <c r="K196" s="2" t="inlineStr">
        <is>
          <t>Decrease</t>
        </is>
      </c>
      <c r="L196" s="2" t="inlineStr">
        <is>
          <t>No</t>
        </is>
      </c>
      <c r="M196" s="2" t="inlineStr"/>
      <c r="N196" s="3" t="inlineStr"/>
      <c r="O196" s="3" t="inlineStr">
        <is>
          <t>Current-year balance decreased by $1,469 compared with prior year.</t>
        </is>
      </c>
    </row>
    <row r="197">
      <c r="A197" s="2" t="inlineStr">
        <is>
          <t>3030</t>
        </is>
      </c>
      <c r="B197" s="2" t="n">
        <v>196</v>
      </c>
      <c r="C197" s="2" t="inlineStr">
        <is>
          <t>3030</t>
        </is>
      </c>
      <c r="D197" s="2" t="inlineStr">
        <is>
          <t>Retained Earnings - Corporate</t>
        </is>
      </c>
      <c r="E197" s="2" t="inlineStr">
        <is>
          <t>Equity</t>
        </is>
      </c>
      <c r="F197" s="2" t="inlineStr">
        <is>
          <t>Corporate</t>
        </is>
      </c>
      <c r="G197" s="4">
        <f>SUMIF(Prior_Year_TB!A:A,A197,Prior_Year_TB!F:F)</f>
        <v/>
      </c>
      <c r="H197" s="4">
        <f>SUMIF(Current_Year_TB!A:A,A197,Current_Year_TB!F:F)</f>
        <v/>
      </c>
      <c r="I197" s="4">
        <f>H197-G197</f>
        <v/>
      </c>
      <c r="J197" s="5">
        <f>IFERROR(I197/ABS(G197),"")</f>
        <v/>
      </c>
      <c r="K197" s="2" t="inlineStr">
        <is>
          <t>Decrease</t>
        </is>
      </c>
      <c r="L197" s="2" t="inlineStr">
        <is>
          <t>No</t>
        </is>
      </c>
      <c r="M197" s="2" t="inlineStr"/>
      <c r="N197" s="3" t="inlineStr"/>
      <c r="O197" s="3" t="inlineStr">
        <is>
          <t>Current-year balance decreased by $1,453 compared with prior year.</t>
        </is>
      </c>
    </row>
    <row r="198">
      <c r="A198" s="2" t="inlineStr">
        <is>
          <t>3123</t>
        </is>
      </c>
      <c r="B198" s="2" t="n">
        <v>197</v>
      </c>
      <c r="C198" s="2" t="inlineStr">
        <is>
          <t>3123</t>
        </is>
      </c>
      <c r="D198" s="2" t="inlineStr">
        <is>
          <t>Common Stock - IT</t>
        </is>
      </c>
      <c r="E198" s="2" t="inlineStr">
        <is>
          <t>Equity</t>
        </is>
      </c>
      <c r="F198" s="2" t="inlineStr">
        <is>
          <t>IT</t>
        </is>
      </c>
      <c r="G198" s="4">
        <f>SUMIF(Prior_Year_TB!A:A,A198,Prior_Year_TB!F:F)</f>
        <v/>
      </c>
      <c r="H198" s="4">
        <f>SUMIF(Current_Year_TB!A:A,A198,Current_Year_TB!F:F)</f>
        <v/>
      </c>
      <c r="I198" s="4">
        <f>H198-G198</f>
        <v/>
      </c>
      <c r="J198" s="5">
        <f>IFERROR(I198/ABS(G198),"")</f>
        <v/>
      </c>
      <c r="K198" s="2" t="inlineStr">
        <is>
          <t>Increase</t>
        </is>
      </c>
      <c r="L198" s="2" t="inlineStr">
        <is>
          <t>No</t>
        </is>
      </c>
      <c r="M198" s="2" t="inlineStr"/>
      <c r="N198" s="3" t="inlineStr"/>
      <c r="O198" s="3" t="inlineStr">
        <is>
          <t>Current-year balance increased by $1,439 compared with prior year.</t>
        </is>
      </c>
    </row>
    <row r="199">
      <c r="A199" s="2" t="inlineStr">
        <is>
          <t>7025</t>
        </is>
      </c>
      <c r="B199" s="2" t="n">
        <v>198</v>
      </c>
      <c r="C199" s="2" t="inlineStr">
        <is>
          <t>7025</t>
        </is>
      </c>
      <c r="D199" s="2" t="inlineStr">
        <is>
          <t>Taxes and Licenses - Ops</t>
        </is>
      </c>
      <c r="E199" s="2" t="inlineStr">
        <is>
          <t>Other Expense</t>
        </is>
      </c>
      <c r="F199" s="2" t="inlineStr">
        <is>
          <t>Ops</t>
        </is>
      </c>
      <c r="G199" s="4">
        <f>SUMIF(Prior_Year_TB!A:A,A199,Prior_Year_TB!F:F)</f>
        <v/>
      </c>
      <c r="H199" s="4">
        <f>SUMIF(Current_Year_TB!A:A,A199,Current_Year_TB!F:F)</f>
        <v/>
      </c>
      <c r="I199" s="4">
        <f>H199-G199</f>
        <v/>
      </c>
      <c r="J199" s="5">
        <f>IFERROR(I199/ABS(G199),"")</f>
        <v/>
      </c>
      <c r="K199" s="2" t="inlineStr">
        <is>
          <t>Increase</t>
        </is>
      </c>
      <c r="L199" s="2" t="inlineStr">
        <is>
          <t>No</t>
        </is>
      </c>
      <c r="M199" s="2" t="inlineStr"/>
      <c r="N199" s="3" t="inlineStr"/>
      <c r="O199" s="3" t="inlineStr">
        <is>
          <t>Current-year balance increased by $1,424 compared with prior year.</t>
        </is>
      </c>
    </row>
    <row r="200">
      <c r="A200" s="2" t="inlineStr">
        <is>
          <t>1043</t>
        </is>
      </c>
      <c r="B200" s="2" t="n">
        <v>199</v>
      </c>
      <c r="C200" s="2" t="inlineStr">
        <is>
          <t>1043</t>
        </is>
      </c>
      <c r="D200" s="2" t="inlineStr">
        <is>
          <t>Cash - Corporate</t>
        </is>
      </c>
      <c r="E200" s="2" t="inlineStr">
        <is>
          <t>Assets</t>
        </is>
      </c>
      <c r="F200" s="2" t="inlineStr">
        <is>
          <t>Corporate</t>
        </is>
      </c>
      <c r="G200" s="4">
        <f>SUMIF(Prior_Year_TB!A:A,A200,Prior_Year_TB!F:F)</f>
        <v/>
      </c>
      <c r="H200" s="4">
        <f>SUMIF(Current_Year_TB!A:A,A200,Current_Year_TB!F:F)</f>
        <v/>
      </c>
      <c r="I200" s="4">
        <f>H200-G200</f>
        <v/>
      </c>
      <c r="J200" s="5">
        <f>IFERROR(I200/ABS(G200),"")</f>
        <v/>
      </c>
      <c r="K200" s="2" t="inlineStr">
        <is>
          <t>Decrease</t>
        </is>
      </c>
      <c r="L200" s="2" t="inlineStr">
        <is>
          <t>No</t>
        </is>
      </c>
      <c r="M200" s="2" t="inlineStr"/>
      <c r="N200" s="3" t="inlineStr"/>
      <c r="O200" s="3" t="inlineStr">
        <is>
          <t>Current-year balance decreased by $1,368 compared with prior year.</t>
        </is>
      </c>
    </row>
    <row r="201">
      <c r="A201" s="2" t="inlineStr">
        <is>
          <t>1114</t>
        </is>
      </c>
      <c r="B201" s="2" t="n">
        <v>200</v>
      </c>
      <c r="C201" s="2" t="inlineStr">
        <is>
          <t>1114</t>
        </is>
      </c>
      <c r="D201" s="2" t="inlineStr">
        <is>
          <t>Accounts Receivable - Corporate</t>
        </is>
      </c>
      <c r="E201" s="2" t="inlineStr">
        <is>
          <t>Assets</t>
        </is>
      </c>
      <c r="F201" s="2" t="inlineStr">
        <is>
          <t>Corporate</t>
        </is>
      </c>
      <c r="G201" s="4">
        <f>SUMIF(Prior_Year_TB!A:A,A201,Prior_Year_TB!F:F)</f>
        <v/>
      </c>
      <c r="H201" s="4">
        <f>SUMIF(Current_Year_TB!A:A,A201,Current_Year_TB!F:F)</f>
        <v/>
      </c>
      <c r="I201" s="4">
        <f>H201-G201</f>
        <v/>
      </c>
      <c r="J201" s="5">
        <f>IFERROR(I201/ABS(G201),"")</f>
        <v/>
      </c>
      <c r="K201" s="2" t="inlineStr">
        <is>
          <t>Increase</t>
        </is>
      </c>
      <c r="L201" s="2" t="inlineStr">
        <is>
          <t>No</t>
        </is>
      </c>
      <c r="M201" s="2" t="inlineStr"/>
      <c r="N201" s="3" t="inlineStr"/>
      <c r="O201" s="3" t="inlineStr">
        <is>
          <t>Current-year balance increased by $1,274 compared with prior year.</t>
        </is>
      </c>
    </row>
    <row r="202">
      <c r="A202" s="2" t="inlineStr">
        <is>
          <t>2201</t>
        </is>
      </c>
      <c r="B202" s="2" t="n">
        <v>201</v>
      </c>
      <c r="C202" s="2" t="inlineStr">
        <is>
          <t>2201</t>
        </is>
      </c>
      <c r="D202" s="2" t="inlineStr">
        <is>
          <t>Deferred Revenue - Ops</t>
        </is>
      </c>
      <c r="E202" s="2" t="inlineStr">
        <is>
          <t>Liabilities</t>
        </is>
      </c>
      <c r="F202" s="2" t="inlineStr">
        <is>
          <t>Ops</t>
        </is>
      </c>
      <c r="G202" s="4">
        <f>SUMIF(Prior_Year_TB!A:A,A202,Prior_Year_TB!F:F)</f>
        <v/>
      </c>
      <c r="H202" s="4">
        <f>SUMIF(Current_Year_TB!A:A,A202,Current_Year_TB!F:F)</f>
        <v/>
      </c>
      <c r="I202" s="4">
        <f>H202-G202</f>
        <v/>
      </c>
      <c r="J202" s="5">
        <f>IFERROR(I202/ABS(G202),"")</f>
        <v/>
      </c>
      <c r="K202" s="2" t="inlineStr">
        <is>
          <t>Decrease</t>
        </is>
      </c>
      <c r="L202" s="2" t="inlineStr">
        <is>
          <t>No</t>
        </is>
      </c>
      <c r="M202" s="2" t="inlineStr"/>
      <c r="N202" s="3" t="inlineStr"/>
      <c r="O202" s="3" t="inlineStr">
        <is>
          <t>Current-year balance decreased by $1,159 compared with prior year.</t>
        </is>
      </c>
    </row>
    <row r="203">
      <c r="A203" s="2" t="inlineStr">
        <is>
          <t>3245</t>
        </is>
      </c>
      <c r="B203" s="2" t="n">
        <v>202</v>
      </c>
      <c r="C203" s="2" t="inlineStr">
        <is>
          <t>3245</t>
        </is>
      </c>
      <c r="D203" s="2" t="inlineStr">
        <is>
          <t>Common Stock - Warehouse</t>
        </is>
      </c>
      <c r="E203" s="2" t="inlineStr">
        <is>
          <t>Equity</t>
        </is>
      </c>
      <c r="F203" s="2" t="inlineStr">
        <is>
          <t>Warehouse</t>
        </is>
      </c>
      <c r="G203" s="4">
        <f>SUMIF(Prior_Year_TB!A:A,A203,Prior_Year_TB!F:F)</f>
        <v/>
      </c>
      <c r="H203" s="4">
        <f>SUMIF(Current_Year_TB!A:A,A203,Current_Year_TB!F:F)</f>
        <v/>
      </c>
      <c r="I203" s="4">
        <f>H203-G203</f>
        <v/>
      </c>
      <c r="J203" s="5">
        <f>IFERROR(I203/ABS(G203),"")</f>
        <v/>
      </c>
      <c r="K203" s="2" t="inlineStr">
        <is>
          <t>Decrease</t>
        </is>
      </c>
      <c r="L203" s="2" t="inlineStr">
        <is>
          <t>No</t>
        </is>
      </c>
      <c r="M203" s="2" t="inlineStr"/>
      <c r="N203" s="3" t="inlineStr"/>
      <c r="O203" s="3" t="inlineStr">
        <is>
          <t>Current-year balance decreased by $1,136 compared with prior year.</t>
        </is>
      </c>
    </row>
    <row r="204">
      <c r="A204" s="2" t="inlineStr">
        <is>
          <t>4191</t>
        </is>
      </c>
      <c r="B204" s="2" t="n">
        <v>203</v>
      </c>
      <c r="C204" s="2" t="inlineStr">
        <is>
          <t>4191</t>
        </is>
      </c>
      <c r="D204" s="2" t="inlineStr">
        <is>
          <t>Service Revenue - Corporate</t>
        </is>
      </c>
      <c r="E204" s="2" t="inlineStr">
        <is>
          <t>Revenue</t>
        </is>
      </c>
      <c r="F204" s="2" t="inlineStr">
        <is>
          <t>Corporate</t>
        </is>
      </c>
      <c r="G204" s="4">
        <f>SUMIF(Prior_Year_TB!A:A,A204,Prior_Year_TB!F:F)</f>
        <v/>
      </c>
      <c r="H204" s="4">
        <f>SUMIF(Current_Year_TB!A:A,A204,Current_Year_TB!F:F)</f>
        <v/>
      </c>
      <c r="I204" s="4">
        <f>H204-G204</f>
        <v/>
      </c>
      <c r="J204" s="5">
        <f>IFERROR(I204/ABS(G204),"")</f>
        <v/>
      </c>
      <c r="K204" s="2" t="inlineStr">
        <is>
          <t>Decrease</t>
        </is>
      </c>
      <c r="L204" s="2" t="inlineStr">
        <is>
          <t>No</t>
        </is>
      </c>
      <c r="M204" s="2" t="inlineStr"/>
      <c r="N204" s="3" t="inlineStr"/>
      <c r="O204" s="3" t="inlineStr">
        <is>
          <t>Current-year balance decreased by $1,073 compared with prior year.</t>
        </is>
      </c>
    </row>
    <row r="205">
      <c r="A205" s="2" t="inlineStr">
        <is>
          <t>4233</t>
        </is>
      </c>
      <c r="B205" s="2" t="n">
        <v>204</v>
      </c>
      <c r="C205" s="2" t="inlineStr">
        <is>
          <t>4233</t>
        </is>
      </c>
      <c r="D205" s="2" t="inlineStr">
        <is>
          <t>Product Revenue - Ops</t>
        </is>
      </c>
      <c r="E205" s="2" t="inlineStr">
        <is>
          <t>Revenue</t>
        </is>
      </c>
      <c r="F205" s="2" t="inlineStr">
        <is>
          <t>Ops</t>
        </is>
      </c>
      <c r="G205" s="4">
        <f>SUMIF(Prior_Year_TB!A:A,A205,Prior_Year_TB!F:F)</f>
        <v/>
      </c>
      <c r="H205" s="4">
        <f>SUMIF(Current_Year_TB!A:A,A205,Current_Year_TB!F:F)</f>
        <v/>
      </c>
      <c r="I205" s="4">
        <f>H205-G205</f>
        <v/>
      </c>
      <c r="J205" s="5">
        <f>IFERROR(I205/ABS(G205),"")</f>
        <v/>
      </c>
      <c r="K205" s="2" t="inlineStr">
        <is>
          <t>Increase</t>
        </is>
      </c>
      <c r="L205" s="2" t="inlineStr">
        <is>
          <t>No</t>
        </is>
      </c>
      <c r="M205" s="2" t="inlineStr"/>
      <c r="N205" s="3" t="inlineStr"/>
      <c r="O205" s="3" t="inlineStr">
        <is>
          <t>Current-year balance increased by $1,024 compared with prior year.</t>
        </is>
      </c>
    </row>
    <row r="206">
      <c r="A206" s="2" t="inlineStr">
        <is>
          <t>7140</t>
        </is>
      </c>
      <c r="B206" s="2" t="n">
        <v>205</v>
      </c>
      <c r="C206" s="2" t="inlineStr">
        <is>
          <t>7140</t>
        </is>
      </c>
      <c r="D206" s="2" t="inlineStr">
        <is>
          <t>Miscellaneous Expense - Warehouse</t>
        </is>
      </c>
      <c r="E206" s="2" t="inlineStr">
        <is>
          <t>Other Expense</t>
        </is>
      </c>
      <c r="F206" s="2" t="inlineStr">
        <is>
          <t>Warehouse</t>
        </is>
      </c>
      <c r="G206" s="4">
        <f>SUMIF(Prior_Year_TB!A:A,A206,Prior_Year_TB!F:F)</f>
        <v/>
      </c>
      <c r="H206" s="4">
        <f>SUMIF(Current_Year_TB!A:A,A206,Current_Year_TB!F:F)</f>
        <v/>
      </c>
      <c r="I206" s="4">
        <f>H206-G206</f>
        <v/>
      </c>
      <c r="J206" s="5">
        <f>IFERROR(I206/ABS(G206),"")</f>
        <v/>
      </c>
      <c r="K206" s="2" t="inlineStr">
        <is>
          <t>Increase</t>
        </is>
      </c>
      <c r="L206" s="2" t="inlineStr">
        <is>
          <t>No</t>
        </is>
      </c>
      <c r="M206" s="2" t="inlineStr"/>
      <c r="N206" s="3" t="inlineStr"/>
      <c r="O206" s="3" t="inlineStr">
        <is>
          <t>Current-year balance increased by $975 compared with prior year.</t>
        </is>
      </c>
    </row>
    <row r="207">
      <c r="A207" s="2" t="inlineStr">
        <is>
          <t>4352</t>
        </is>
      </c>
      <c r="B207" s="2" t="n">
        <v>206</v>
      </c>
      <c r="C207" s="2" t="inlineStr">
        <is>
          <t>4352</t>
        </is>
      </c>
      <c r="D207" s="2" t="inlineStr">
        <is>
          <t>Other Income - Warehouse</t>
        </is>
      </c>
      <c r="E207" s="2" t="inlineStr">
        <is>
          <t>Revenue</t>
        </is>
      </c>
      <c r="F207" s="2" t="inlineStr">
        <is>
          <t>Warehouse</t>
        </is>
      </c>
      <c r="G207" s="4">
        <f>SUMIF(Prior_Year_TB!A:A,A207,Prior_Year_TB!F:F)</f>
        <v/>
      </c>
      <c r="H207" s="4">
        <f>SUMIF(Current_Year_TB!A:A,A207,Current_Year_TB!F:F)</f>
        <v/>
      </c>
      <c r="I207" s="4">
        <f>H207-G207</f>
        <v/>
      </c>
      <c r="J207" s="5">
        <f>IFERROR(I207/ABS(G207),"")</f>
        <v/>
      </c>
      <c r="K207" s="2" t="inlineStr">
        <is>
          <t>Decrease</t>
        </is>
      </c>
      <c r="L207" s="2" t="inlineStr">
        <is>
          <t>No</t>
        </is>
      </c>
      <c r="M207" s="2" t="inlineStr"/>
      <c r="N207" s="3" t="inlineStr"/>
      <c r="O207" s="3" t="inlineStr">
        <is>
          <t>Current-year balance decreased by $939 compared with prior year.</t>
        </is>
      </c>
    </row>
    <row r="208">
      <c r="A208" s="2" t="inlineStr">
        <is>
          <t>7124</t>
        </is>
      </c>
      <c r="B208" s="2" t="n">
        <v>207</v>
      </c>
      <c r="C208" s="2" t="inlineStr">
        <is>
          <t>7124</t>
        </is>
      </c>
      <c r="D208" s="2" t="inlineStr">
        <is>
          <t>Bank Fees - Sales</t>
        </is>
      </c>
      <c r="E208" s="2" t="inlineStr">
        <is>
          <t>Other Expense</t>
        </is>
      </c>
      <c r="F208" s="2" t="inlineStr">
        <is>
          <t>Sales</t>
        </is>
      </c>
      <c r="G208" s="4">
        <f>SUMIF(Prior_Year_TB!A:A,A208,Prior_Year_TB!F:F)</f>
        <v/>
      </c>
      <c r="H208" s="4">
        <f>SUMIF(Current_Year_TB!A:A,A208,Current_Year_TB!F:F)</f>
        <v/>
      </c>
      <c r="I208" s="4">
        <f>H208-G208</f>
        <v/>
      </c>
      <c r="J208" s="5">
        <f>IFERROR(I208/ABS(G208),"")</f>
        <v/>
      </c>
      <c r="K208" s="2" t="inlineStr">
        <is>
          <t>Increase</t>
        </is>
      </c>
      <c r="L208" s="2" t="inlineStr">
        <is>
          <t>No</t>
        </is>
      </c>
      <c r="M208" s="2" t="inlineStr"/>
      <c r="N208" s="3" t="inlineStr"/>
      <c r="O208" s="3" t="inlineStr">
        <is>
          <t>Current-year balance increased by $924 compared with prior year.</t>
        </is>
      </c>
    </row>
    <row r="209">
      <c r="A209" s="2" t="inlineStr">
        <is>
          <t>6135</t>
        </is>
      </c>
      <c r="B209" s="2" t="n">
        <v>208</v>
      </c>
      <c r="C209" s="2" t="inlineStr">
        <is>
          <t>6135</t>
        </is>
      </c>
      <c r="D209" s="2" t="inlineStr">
        <is>
          <t>Software - Admin</t>
        </is>
      </c>
      <c r="E209" s="2" t="inlineStr">
        <is>
          <t>Operating Expenses</t>
        </is>
      </c>
      <c r="F209" s="2" t="inlineStr">
        <is>
          <t>Admin</t>
        </is>
      </c>
      <c r="G209" s="4">
        <f>SUMIF(Prior_Year_TB!A:A,A209,Prior_Year_TB!F:F)</f>
        <v/>
      </c>
      <c r="H209" s="4">
        <f>SUMIF(Current_Year_TB!A:A,A209,Current_Year_TB!F:F)</f>
        <v/>
      </c>
      <c r="I209" s="4">
        <f>H209-G209</f>
        <v/>
      </c>
      <c r="J209" s="5">
        <f>IFERROR(I209/ABS(G209),"")</f>
        <v/>
      </c>
      <c r="K209" s="2" t="inlineStr">
        <is>
          <t>Decrease</t>
        </is>
      </c>
      <c r="L209" s="2" t="inlineStr">
        <is>
          <t>No</t>
        </is>
      </c>
      <c r="M209" s="2" t="inlineStr"/>
      <c r="N209" s="3" t="inlineStr"/>
      <c r="O209" s="3" t="inlineStr">
        <is>
          <t>Current-year balance decreased by $869 compared with prior year.</t>
        </is>
      </c>
    </row>
    <row r="210">
      <c r="A210" s="2" t="inlineStr">
        <is>
          <t>5122</t>
        </is>
      </c>
      <c r="B210" s="2" t="n">
        <v>209</v>
      </c>
      <c r="C210" s="2" t="inlineStr">
        <is>
          <t>5122</t>
        </is>
      </c>
      <c r="D210" s="2" t="inlineStr">
        <is>
          <t>Materials - Corporate</t>
        </is>
      </c>
      <c r="E210" s="2" t="inlineStr">
        <is>
          <t>COGS</t>
        </is>
      </c>
      <c r="F210" s="2" t="inlineStr">
        <is>
          <t>Corporate</t>
        </is>
      </c>
      <c r="G210" s="4">
        <f>SUMIF(Prior_Year_TB!A:A,A210,Prior_Year_TB!F:F)</f>
        <v/>
      </c>
      <c r="H210" s="4">
        <f>SUMIF(Current_Year_TB!A:A,A210,Current_Year_TB!F:F)</f>
        <v/>
      </c>
      <c r="I210" s="4">
        <f>H210-G210</f>
        <v/>
      </c>
      <c r="J210" s="5">
        <f>IFERROR(I210/ABS(G210),"")</f>
        <v/>
      </c>
      <c r="K210" s="2" t="inlineStr">
        <is>
          <t>Decrease</t>
        </is>
      </c>
      <c r="L210" s="2" t="inlineStr">
        <is>
          <t>No</t>
        </is>
      </c>
      <c r="M210" s="2" t="inlineStr"/>
      <c r="N210" s="3" t="inlineStr"/>
      <c r="O210" s="3" t="inlineStr">
        <is>
          <t>Current-year balance decreased by $726 compared with prior year.</t>
        </is>
      </c>
    </row>
    <row r="211">
      <c r="A211" s="2" t="inlineStr">
        <is>
          <t>5135</t>
        </is>
      </c>
      <c r="B211" s="2" t="n">
        <v>210</v>
      </c>
      <c r="C211" s="2" t="inlineStr">
        <is>
          <t>5135</t>
        </is>
      </c>
      <c r="D211" s="2" t="inlineStr">
        <is>
          <t>Freight In - Warehouse</t>
        </is>
      </c>
      <c r="E211" s="2" t="inlineStr">
        <is>
          <t>COGS</t>
        </is>
      </c>
      <c r="F211" s="2" t="inlineStr">
        <is>
          <t>Warehouse</t>
        </is>
      </c>
      <c r="G211" s="4">
        <f>SUMIF(Prior_Year_TB!A:A,A211,Prior_Year_TB!F:F)</f>
        <v/>
      </c>
      <c r="H211" s="4">
        <f>SUMIF(Current_Year_TB!A:A,A211,Current_Year_TB!F:F)</f>
        <v/>
      </c>
      <c r="I211" s="4">
        <f>H211-G211</f>
        <v/>
      </c>
      <c r="J211" s="5">
        <f>IFERROR(I211/ABS(G211),"")</f>
        <v/>
      </c>
      <c r="K211" s="2" t="inlineStr">
        <is>
          <t>Decrease</t>
        </is>
      </c>
      <c r="L211" s="2" t="inlineStr">
        <is>
          <t>No</t>
        </is>
      </c>
      <c r="M211" s="2" t="inlineStr"/>
      <c r="N211" s="3" t="inlineStr"/>
      <c r="O211" s="3" t="inlineStr">
        <is>
          <t>Current-year balance decreased by $707 compared with prior year.</t>
        </is>
      </c>
    </row>
    <row r="212">
      <c r="A212" s="2" t="inlineStr">
        <is>
          <t>1061</t>
        </is>
      </c>
      <c r="B212" s="2" t="n">
        <v>211</v>
      </c>
      <c r="C212" s="2" t="inlineStr">
        <is>
          <t>1061</t>
        </is>
      </c>
      <c r="D212" s="2" t="inlineStr">
        <is>
          <t>Inventory - Admin</t>
        </is>
      </c>
      <c r="E212" s="2" t="inlineStr">
        <is>
          <t>Assets</t>
        </is>
      </c>
      <c r="F212" s="2" t="inlineStr">
        <is>
          <t>Admin</t>
        </is>
      </c>
      <c r="G212" s="4">
        <f>SUMIF(Prior_Year_TB!A:A,A212,Prior_Year_TB!F:F)</f>
        <v/>
      </c>
      <c r="H212" s="4">
        <f>SUMIF(Current_Year_TB!A:A,A212,Current_Year_TB!F:F)</f>
        <v/>
      </c>
      <c r="I212" s="4">
        <f>H212-G212</f>
        <v/>
      </c>
      <c r="J212" s="5">
        <f>IFERROR(I212/ABS(G212),"")</f>
        <v/>
      </c>
      <c r="K212" s="2" t="inlineStr">
        <is>
          <t>Decrease</t>
        </is>
      </c>
      <c r="L212" s="2" t="inlineStr">
        <is>
          <t>No</t>
        </is>
      </c>
      <c r="M212" s="2" t="inlineStr"/>
      <c r="N212" s="3" t="inlineStr"/>
      <c r="O212" s="3" t="inlineStr">
        <is>
          <t>Current-year balance decreased by $674 compared with prior year.</t>
        </is>
      </c>
    </row>
    <row r="213">
      <c r="A213" s="2" t="inlineStr">
        <is>
          <t>6335</t>
        </is>
      </c>
      <c r="B213" s="2" t="n">
        <v>212</v>
      </c>
      <c r="C213" s="2" t="inlineStr">
        <is>
          <t>6335</t>
        </is>
      </c>
      <c r="D213" s="2" t="inlineStr">
        <is>
          <t>Travel - Sales</t>
        </is>
      </c>
      <c r="E213" s="2" t="inlineStr">
        <is>
          <t>Operating Expenses</t>
        </is>
      </c>
      <c r="F213" s="2" t="inlineStr">
        <is>
          <t>Sales</t>
        </is>
      </c>
      <c r="G213" s="4">
        <f>SUMIF(Prior_Year_TB!A:A,A213,Prior_Year_TB!F:F)</f>
        <v/>
      </c>
      <c r="H213" s="4">
        <f>SUMIF(Current_Year_TB!A:A,A213,Current_Year_TB!F:F)</f>
        <v/>
      </c>
      <c r="I213" s="4">
        <f>H213-G213</f>
        <v/>
      </c>
      <c r="J213" s="5">
        <f>IFERROR(I213/ABS(G213),"")</f>
        <v/>
      </c>
      <c r="K213" s="2" t="inlineStr">
        <is>
          <t>Decrease</t>
        </is>
      </c>
      <c r="L213" s="2" t="inlineStr">
        <is>
          <t>No</t>
        </is>
      </c>
      <c r="M213" s="2" t="inlineStr"/>
      <c r="N213" s="3" t="inlineStr"/>
      <c r="O213" s="3" t="inlineStr">
        <is>
          <t>Current-year balance decreased by $642 compared with prior year.</t>
        </is>
      </c>
    </row>
    <row r="214">
      <c r="A214" s="2" t="inlineStr">
        <is>
          <t>7111</t>
        </is>
      </c>
      <c r="B214" s="2" t="n">
        <v>213</v>
      </c>
      <c r="C214" s="2" t="inlineStr">
        <is>
          <t>7111</t>
        </is>
      </c>
      <c r="D214" s="2" t="inlineStr">
        <is>
          <t>Interest Expense - IT</t>
        </is>
      </c>
      <c r="E214" s="2" t="inlineStr">
        <is>
          <t>Other Expense</t>
        </is>
      </c>
      <c r="F214" s="2" t="inlineStr">
        <is>
          <t>IT</t>
        </is>
      </c>
      <c r="G214" s="4">
        <f>SUMIF(Prior_Year_TB!A:A,A214,Prior_Year_TB!F:F)</f>
        <v/>
      </c>
      <c r="H214" s="4">
        <f>SUMIF(Current_Year_TB!A:A,A214,Current_Year_TB!F:F)</f>
        <v/>
      </c>
      <c r="I214" s="4">
        <f>H214-G214</f>
        <v/>
      </c>
      <c r="J214" s="5">
        <f>IFERROR(I214/ABS(G214),"")</f>
        <v/>
      </c>
      <c r="K214" s="2" t="inlineStr">
        <is>
          <t>Increase</t>
        </is>
      </c>
      <c r="L214" s="2" t="inlineStr">
        <is>
          <t>No</t>
        </is>
      </c>
      <c r="M214" s="2" t="inlineStr"/>
      <c r="N214" s="3" t="inlineStr"/>
      <c r="O214" s="3" t="inlineStr">
        <is>
          <t>Current-year balance increased by $634 compared with prior year.</t>
        </is>
      </c>
    </row>
    <row r="215">
      <c r="A215" s="2" t="inlineStr">
        <is>
          <t>7063</t>
        </is>
      </c>
      <c r="B215" s="2" t="n">
        <v>214</v>
      </c>
      <c r="C215" s="2" t="inlineStr">
        <is>
          <t>7063</t>
        </is>
      </c>
      <c r="D215" s="2" t="inlineStr">
        <is>
          <t>Interest Expense - Ops</t>
        </is>
      </c>
      <c r="E215" s="2" t="inlineStr">
        <is>
          <t>Other Expense</t>
        </is>
      </c>
      <c r="F215" s="2" t="inlineStr">
        <is>
          <t>Ops</t>
        </is>
      </c>
      <c r="G215" s="4">
        <f>SUMIF(Prior_Year_TB!A:A,A215,Prior_Year_TB!F:F)</f>
        <v/>
      </c>
      <c r="H215" s="4">
        <f>SUMIF(Current_Year_TB!A:A,A215,Current_Year_TB!F:F)</f>
        <v/>
      </c>
      <c r="I215" s="4">
        <f>H215-G215</f>
        <v/>
      </c>
      <c r="J215" s="5">
        <f>IFERROR(I215/ABS(G215),"")</f>
        <v/>
      </c>
      <c r="K215" s="2" t="inlineStr">
        <is>
          <t>Increase</t>
        </is>
      </c>
      <c r="L215" s="2" t="inlineStr">
        <is>
          <t>No</t>
        </is>
      </c>
      <c r="M215" s="2" t="inlineStr"/>
      <c r="N215" s="3" t="inlineStr"/>
      <c r="O215" s="3" t="inlineStr">
        <is>
          <t>Current-year balance increased by $620 compared with prior year.</t>
        </is>
      </c>
    </row>
    <row r="216">
      <c r="A216" s="2" t="inlineStr">
        <is>
          <t>5205</t>
        </is>
      </c>
      <c r="B216" s="2" t="n">
        <v>215</v>
      </c>
      <c r="C216" s="2" t="inlineStr">
        <is>
          <t>5205</t>
        </is>
      </c>
      <c r="D216" s="2" t="inlineStr">
        <is>
          <t>Materials - IT</t>
        </is>
      </c>
      <c r="E216" s="2" t="inlineStr">
        <is>
          <t>COGS</t>
        </is>
      </c>
      <c r="F216" s="2" t="inlineStr">
        <is>
          <t>IT</t>
        </is>
      </c>
      <c r="G216" s="4">
        <f>SUMIF(Prior_Year_TB!A:A,A216,Prior_Year_TB!F:F)</f>
        <v/>
      </c>
      <c r="H216" s="4">
        <f>SUMIF(Current_Year_TB!A:A,A216,Current_Year_TB!F:F)</f>
        <v/>
      </c>
      <c r="I216" s="4">
        <f>H216-G216</f>
        <v/>
      </c>
      <c r="J216" s="5">
        <f>IFERROR(I216/ABS(G216),"")</f>
        <v/>
      </c>
      <c r="K216" s="2" t="inlineStr">
        <is>
          <t>Decrease</t>
        </is>
      </c>
      <c r="L216" s="2" t="inlineStr">
        <is>
          <t>No</t>
        </is>
      </c>
      <c r="M216" s="2" t="inlineStr"/>
      <c r="N216" s="3" t="inlineStr"/>
      <c r="O216" s="3" t="inlineStr">
        <is>
          <t>Current-year balance decreased by $608 compared with prior year.</t>
        </is>
      </c>
    </row>
    <row r="217">
      <c r="A217" s="2" t="inlineStr">
        <is>
          <t>3042</t>
        </is>
      </c>
      <c r="B217" s="2" t="n">
        <v>216</v>
      </c>
      <c r="C217" s="2" t="inlineStr">
        <is>
          <t>3042</t>
        </is>
      </c>
      <c r="D217" s="2" t="inlineStr">
        <is>
          <t>Retained Earnings - Corporate</t>
        </is>
      </c>
      <c r="E217" s="2" t="inlineStr">
        <is>
          <t>Equity</t>
        </is>
      </c>
      <c r="F217" s="2" t="inlineStr">
        <is>
          <t>Corporate</t>
        </is>
      </c>
      <c r="G217" s="4">
        <f>SUMIF(Prior_Year_TB!A:A,A217,Prior_Year_TB!F:F)</f>
        <v/>
      </c>
      <c r="H217" s="4">
        <f>SUMIF(Current_Year_TB!A:A,A217,Current_Year_TB!F:F)</f>
        <v/>
      </c>
      <c r="I217" s="4">
        <f>H217-G217</f>
        <v/>
      </c>
      <c r="J217" s="5">
        <f>IFERROR(I217/ABS(G217),"")</f>
        <v/>
      </c>
      <c r="K217" s="2" t="inlineStr">
        <is>
          <t>Decrease</t>
        </is>
      </c>
      <c r="L217" s="2" t="inlineStr">
        <is>
          <t>No</t>
        </is>
      </c>
      <c r="M217" s="2" t="inlineStr"/>
      <c r="N217" s="3" t="inlineStr"/>
      <c r="O217" s="3" t="inlineStr">
        <is>
          <t>Current-year balance decreased by $582 compared with prior year.</t>
        </is>
      </c>
    </row>
    <row r="218">
      <c r="A218" s="2" t="inlineStr">
        <is>
          <t>3084</t>
        </is>
      </c>
      <c r="B218" s="2" t="n">
        <v>217</v>
      </c>
      <c r="C218" s="2" t="inlineStr">
        <is>
          <t>3084</t>
        </is>
      </c>
      <c r="D218" s="2" t="inlineStr">
        <is>
          <t>Distributions - IT</t>
        </is>
      </c>
      <c r="E218" s="2" t="inlineStr">
        <is>
          <t>Equity</t>
        </is>
      </c>
      <c r="F218" s="2" t="inlineStr">
        <is>
          <t>IT</t>
        </is>
      </c>
      <c r="G218" s="4">
        <f>SUMIF(Prior_Year_TB!A:A,A218,Prior_Year_TB!F:F)</f>
        <v/>
      </c>
      <c r="H218" s="4">
        <f>SUMIF(Current_Year_TB!A:A,A218,Current_Year_TB!F:F)</f>
        <v/>
      </c>
      <c r="I218" s="4">
        <f>H218-G218</f>
        <v/>
      </c>
      <c r="J218" s="5">
        <f>IFERROR(I218/ABS(G218),"")</f>
        <v/>
      </c>
      <c r="K218" s="2" t="inlineStr">
        <is>
          <t>Decrease</t>
        </is>
      </c>
      <c r="L218" s="2" t="inlineStr">
        <is>
          <t>No</t>
        </is>
      </c>
      <c r="M218" s="2" t="inlineStr"/>
      <c r="N218" s="3" t="inlineStr"/>
      <c r="O218" s="3" t="inlineStr">
        <is>
          <t>Current-year balance decreased by $567 compared with prior year.</t>
        </is>
      </c>
    </row>
    <row r="219">
      <c r="A219" s="2" t="inlineStr">
        <is>
          <t>4361</t>
        </is>
      </c>
      <c r="B219" s="2" t="n">
        <v>218</v>
      </c>
      <c r="C219" s="2" t="inlineStr">
        <is>
          <t>4361</t>
        </is>
      </c>
      <c r="D219" s="2" t="inlineStr">
        <is>
          <t>Returns and Allowances - Corporate</t>
        </is>
      </c>
      <c r="E219" s="2" t="inlineStr">
        <is>
          <t>Revenue</t>
        </is>
      </c>
      <c r="F219" s="2" t="inlineStr">
        <is>
          <t>Corporate</t>
        </is>
      </c>
      <c r="G219" s="4">
        <f>SUMIF(Prior_Year_TB!A:A,A219,Prior_Year_TB!F:F)</f>
        <v/>
      </c>
      <c r="H219" s="4">
        <f>SUMIF(Current_Year_TB!A:A,A219,Current_Year_TB!F:F)</f>
        <v/>
      </c>
      <c r="I219" s="4">
        <f>H219-G219</f>
        <v/>
      </c>
      <c r="J219" s="5">
        <f>IFERROR(I219/ABS(G219),"")</f>
        <v/>
      </c>
      <c r="K219" s="2" t="inlineStr">
        <is>
          <t>Decrease</t>
        </is>
      </c>
      <c r="L219" s="2" t="inlineStr">
        <is>
          <t>No</t>
        </is>
      </c>
      <c r="M219" s="2" t="inlineStr"/>
      <c r="N219" s="3" t="inlineStr"/>
      <c r="O219" s="3" t="inlineStr">
        <is>
          <t>Current-year balance decreased by $567 compared with prior year.</t>
        </is>
      </c>
    </row>
    <row r="220">
      <c r="A220" s="2" t="inlineStr">
        <is>
          <t>5352</t>
        </is>
      </c>
      <c r="B220" s="2" t="n">
        <v>219</v>
      </c>
      <c r="C220" s="2" t="inlineStr">
        <is>
          <t>5352</t>
        </is>
      </c>
      <c r="D220" s="2" t="inlineStr">
        <is>
          <t>Freight In - Sales</t>
        </is>
      </c>
      <c r="E220" s="2" t="inlineStr">
        <is>
          <t>COGS</t>
        </is>
      </c>
      <c r="F220" s="2" t="inlineStr">
        <is>
          <t>Sales</t>
        </is>
      </c>
      <c r="G220" s="4">
        <f>SUMIF(Prior_Year_TB!A:A,A220,Prior_Year_TB!F:F)</f>
        <v/>
      </c>
      <c r="H220" s="4">
        <f>SUMIF(Current_Year_TB!A:A,A220,Current_Year_TB!F:F)</f>
        <v/>
      </c>
      <c r="I220" s="4">
        <f>H220-G220</f>
        <v/>
      </c>
      <c r="J220" s="5">
        <f>IFERROR(I220/ABS(G220),"")</f>
        <v/>
      </c>
      <c r="K220" s="2" t="inlineStr">
        <is>
          <t>Increase</t>
        </is>
      </c>
      <c r="L220" s="2" t="inlineStr">
        <is>
          <t>No</t>
        </is>
      </c>
      <c r="M220" s="2" t="inlineStr"/>
      <c r="N220" s="3" t="inlineStr"/>
      <c r="O220" s="3" t="inlineStr">
        <is>
          <t>Current-year balance increased by $550 compared with prior year.</t>
        </is>
      </c>
    </row>
    <row r="221">
      <c r="A221" s="2" t="inlineStr">
        <is>
          <t>5341</t>
        </is>
      </c>
      <c r="B221" s="2" t="n">
        <v>220</v>
      </c>
      <c r="C221" s="2" t="inlineStr">
        <is>
          <t>5341</t>
        </is>
      </c>
      <c r="D221" s="2" t="inlineStr">
        <is>
          <t>Freight In - Admin</t>
        </is>
      </c>
      <c r="E221" s="2" t="inlineStr">
        <is>
          <t>COGS</t>
        </is>
      </c>
      <c r="F221" s="2" t="inlineStr">
        <is>
          <t>Admin</t>
        </is>
      </c>
      <c r="G221" s="4">
        <f>SUMIF(Prior_Year_TB!A:A,A221,Prior_Year_TB!F:F)</f>
        <v/>
      </c>
      <c r="H221" s="4">
        <f>SUMIF(Current_Year_TB!A:A,A221,Current_Year_TB!F:F)</f>
        <v/>
      </c>
      <c r="I221" s="4">
        <f>H221-G221</f>
        <v/>
      </c>
      <c r="J221" s="5">
        <f>IFERROR(I221/ABS(G221),"")</f>
        <v/>
      </c>
      <c r="K221" s="2" t="inlineStr">
        <is>
          <t>Decrease</t>
        </is>
      </c>
      <c r="L221" s="2" t="inlineStr">
        <is>
          <t>No</t>
        </is>
      </c>
      <c r="M221" s="2" t="inlineStr"/>
      <c r="N221" s="3" t="inlineStr"/>
      <c r="O221" s="3" t="inlineStr">
        <is>
          <t>Current-year balance decreased by $542 compared with prior year.</t>
        </is>
      </c>
    </row>
    <row r="222">
      <c r="A222" s="2" t="inlineStr">
        <is>
          <t>7072</t>
        </is>
      </c>
      <c r="B222" s="2" t="n">
        <v>221</v>
      </c>
      <c r="C222" s="2" t="inlineStr">
        <is>
          <t>7072</t>
        </is>
      </c>
      <c r="D222" s="2" t="inlineStr">
        <is>
          <t>Taxes and Licenses - Corporate</t>
        </is>
      </c>
      <c r="E222" s="2" t="inlineStr">
        <is>
          <t>Other Expense</t>
        </is>
      </c>
      <c r="F222" s="2" t="inlineStr">
        <is>
          <t>Corporate</t>
        </is>
      </c>
      <c r="G222" s="4">
        <f>SUMIF(Prior_Year_TB!A:A,A222,Prior_Year_TB!F:F)</f>
        <v/>
      </c>
      <c r="H222" s="4">
        <f>SUMIF(Current_Year_TB!A:A,A222,Current_Year_TB!F:F)</f>
        <v/>
      </c>
      <c r="I222" s="4">
        <f>H222-G222</f>
        <v/>
      </c>
      <c r="J222" s="5">
        <f>IFERROR(I222/ABS(G222),"")</f>
        <v/>
      </c>
      <c r="K222" s="2" t="inlineStr">
        <is>
          <t>Decrease</t>
        </is>
      </c>
      <c r="L222" s="2" t="inlineStr">
        <is>
          <t>No</t>
        </is>
      </c>
      <c r="M222" s="2" t="inlineStr"/>
      <c r="N222" s="3" t="inlineStr"/>
      <c r="O222" s="3" t="inlineStr">
        <is>
          <t>Current-year balance decreased by $540 compared with prior year.</t>
        </is>
      </c>
    </row>
    <row r="223">
      <c r="A223" s="2" t="inlineStr">
        <is>
          <t>2160</t>
        </is>
      </c>
      <c r="B223" s="2" t="n">
        <v>222</v>
      </c>
      <c r="C223" s="2" t="inlineStr">
        <is>
          <t>2160</t>
        </is>
      </c>
      <c r="D223" s="2" t="inlineStr">
        <is>
          <t>Deferred Revenue - Sales</t>
        </is>
      </c>
      <c r="E223" s="2" t="inlineStr">
        <is>
          <t>Liabilities</t>
        </is>
      </c>
      <c r="F223" s="2" t="inlineStr">
        <is>
          <t>Sales</t>
        </is>
      </c>
      <c r="G223" s="4">
        <f>SUMIF(Prior_Year_TB!A:A,A223,Prior_Year_TB!F:F)</f>
        <v/>
      </c>
      <c r="H223" s="4">
        <f>SUMIF(Current_Year_TB!A:A,A223,Current_Year_TB!F:F)</f>
        <v/>
      </c>
      <c r="I223" s="4">
        <f>H223-G223</f>
        <v/>
      </c>
      <c r="J223" s="5">
        <f>IFERROR(I223/ABS(G223),"")</f>
        <v/>
      </c>
      <c r="K223" s="2" t="inlineStr">
        <is>
          <t>Increase</t>
        </is>
      </c>
      <c r="L223" s="2" t="inlineStr">
        <is>
          <t>No</t>
        </is>
      </c>
      <c r="M223" s="2" t="inlineStr"/>
      <c r="N223" s="3" t="inlineStr"/>
      <c r="O223" s="3" t="inlineStr">
        <is>
          <t>Current-year balance increased by $536 compared with prior year.</t>
        </is>
      </c>
    </row>
    <row r="224">
      <c r="A224" s="2" t="inlineStr">
        <is>
          <t>6310</t>
        </is>
      </c>
      <c r="B224" s="2" t="n">
        <v>223</v>
      </c>
      <c r="C224" s="2" t="inlineStr">
        <is>
          <t>6310</t>
        </is>
      </c>
      <c r="D224" s="2" t="inlineStr">
        <is>
          <t>Marketing - Admin</t>
        </is>
      </c>
      <c r="E224" s="2" t="inlineStr">
        <is>
          <t>Operating Expenses</t>
        </is>
      </c>
      <c r="F224" s="2" t="inlineStr">
        <is>
          <t>Admin</t>
        </is>
      </c>
      <c r="G224" s="4">
        <f>SUMIF(Prior_Year_TB!A:A,A224,Prior_Year_TB!F:F)</f>
        <v/>
      </c>
      <c r="H224" s="4">
        <f>SUMIF(Current_Year_TB!A:A,A224,Current_Year_TB!F:F)</f>
        <v/>
      </c>
      <c r="I224" s="4">
        <f>H224-G224</f>
        <v/>
      </c>
      <c r="J224" s="5">
        <f>IFERROR(I224/ABS(G224),"")</f>
        <v/>
      </c>
      <c r="K224" s="2" t="inlineStr">
        <is>
          <t>Increase</t>
        </is>
      </c>
      <c r="L224" s="2" t="inlineStr">
        <is>
          <t>No</t>
        </is>
      </c>
      <c r="M224" s="2" t="inlineStr"/>
      <c r="N224" s="3" t="inlineStr"/>
      <c r="O224" s="3" t="inlineStr">
        <is>
          <t>Current-year balance increased by $498 compared with prior year.</t>
        </is>
      </c>
    </row>
    <row r="225">
      <c r="A225" s="2" t="inlineStr">
        <is>
          <t>4062</t>
        </is>
      </c>
      <c r="B225" s="2" t="n">
        <v>224</v>
      </c>
      <c r="C225" s="2" t="inlineStr">
        <is>
          <t>4062</t>
        </is>
      </c>
      <c r="D225" s="2" t="inlineStr">
        <is>
          <t>Product Revenue - Admin</t>
        </is>
      </c>
      <c r="E225" s="2" t="inlineStr">
        <is>
          <t>Revenue</t>
        </is>
      </c>
      <c r="F225" s="2" t="inlineStr">
        <is>
          <t>Admin</t>
        </is>
      </c>
      <c r="G225" s="4">
        <f>SUMIF(Prior_Year_TB!A:A,A225,Prior_Year_TB!F:F)</f>
        <v/>
      </c>
      <c r="H225" s="4">
        <f>SUMIF(Current_Year_TB!A:A,A225,Current_Year_TB!F:F)</f>
        <v/>
      </c>
      <c r="I225" s="4">
        <f>H225-G225</f>
        <v/>
      </c>
      <c r="J225" s="5">
        <f>IFERROR(I225/ABS(G225),"")</f>
        <v/>
      </c>
      <c r="K225" s="2" t="inlineStr">
        <is>
          <t>Increase</t>
        </is>
      </c>
      <c r="L225" s="2" t="inlineStr">
        <is>
          <t>No</t>
        </is>
      </c>
      <c r="M225" s="2" t="inlineStr"/>
      <c r="N225" s="3" t="inlineStr"/>
      <c r="O225" s="3" t="inlineStr">
        <is>
          <t>Current-year balance increased by $486 compared with prior year.</t>
        </is>
      </c>
    </row>
    <row r="226">
      <c r="A226" s="2" t="inlineStr">
        <is>
          <t>3014</t>
        </is>
      </c>
      <c r="B226" s="2" t="n">
        <v>225</v>
      </c>
      <c r="C226" s="2" t="inlineStr">
        <is>
          <t>3014</t>
        </is>
      </c>
      <c r="D226" s="2" t="inlineStr">
        <is>
          <t>Retained Earnings - Warehouse</t>
        </is>
      </c>
      <c r="E226" s="2" t="inlineStr">
        <is>
          <t>Equity</t>
        </is>
      </c>
      <c r="F226" s="2" t="inlineStr">
        <is>
          <t>Warehouse</t>
        </is>
      </c>
      <c r="G226" s="4">
        <f>SUMIF(Prior_Year_TB!A:A,A226,Prior_Year_TB!F:F)</f>
        <v/>
      </c>
      <c r="H226" s="4">
        <f>SUMIF(Current_Year_TB!A:A,A226,Current_Year_TB!F:F)</f>
        <v/>
      </c>
      <c r="I226" s="4">
        <f>H226-G226</f>
        <v/>
      </c>
      <c r="J226" s="5">
        <f>IFERROR(I226/ABS(G226),"")</f>
        <v/>
      </c>
      <c r="K226" s="2" t="inlineStr">
        <is>
          <t>Decrease</t>
        </is>
      </c>
      <c r="L226" s="2" t="inlineStr">
        <is>
          <t>No</t>
        </is>
      </c>
      <c r="M226" s="2" t="inlineStr"/>
      <c r="N226" s="3" t="inlineStr"/>
      <c r="O226" s="3" t="inlineStr">
        <is>
          <t>Current-year balance decreased by $486 compared with prior year.</t>
        </is>
      </c>
    </row>
    <row r="227">
      <c r="A227" s="2" t="inlineStr">
        <is>
          <t>2014</t>
        </is>
      </c>
      <c r="B227" s="2" t="n">
        <v>226</v>
      </c>
      <c r="C227" s="2" t="inlineStr">
        <is>
          <t>2014</t>
        </is>
      </c>
      <c r="D227" s="2" t="inlineStr">
        <is>
          <t>Accounts Payable - IT</t>
        </is>
      </c>
      <c r="E227" s="2" t="inlineStr">
        <is>
          <t>Liabilities</t>
        </is>
      </c>
      <c r="F227" s="2" t="inlineStr">
        <is>
          <t>IT</t>
        </is>
      </c>
      <c r="G227" s="4">
        <f>SUMIF(Prior_Year_TB!A:A,A227,Prior_Year_TB!F:F)</f>
        <v/>
      </c>
      <c r="H227" s="4">
        <f>SUMIF(Current_Year_TB!A:A,A227,Current_Year_TB!F:F)</f>
        <v/>
      </c>
      <c r="I227" s="4">
        <f>H227-G227</f>
        <v/>
      </c>
      <c r="J227" s="5">
        <f>IFERROR(I227/ABS(G227),"")</f>
        <v/>
      </c>
      <c r="K227" s="2" t="inlineStr">
        <is>
          <t>Decrease</t>
        </is>
      </c>
      <c r="L227" s="2" t="inlineStr">
        <is>
          <t>No</t>
        </is>
      </c>
      <c r="M227" s="2" t="inlineStr"/>
      <c r="N227" s="3" t="inlineStr"/>
      <c r="O227" s="3" t="inlineStr">
        <is>
          <t>Current-year balance decreased by $464 compared with prior year.</t>
        </is>
      </c>
    </row>
    <row r="228">
      <c r="A228" s="2" t="inlineStr">
        <is>
          <t>6374</t>
        </is>
      </c>
      <c r="B228" s="2" t="n">
        <v>227</v>
      </c>
      <c r="C228" s="2" t="inlineStr">
        <is>
          <t>6374</t>
        </is>
      </c>
      <c r="D228" s="2" t="inlineStr">
        <is>
          <t>Utilities - IT</t>
        </is>
      </c>
      <c r="E228" s="2" t="inlineStr">
        <is>
          <t>Operating Expenses</t>
        </is>
      </c>
      <c r="F228" s="2" t="inlineStr">
        <is>
          <t>IT</t>
        </is>
      </c>
      <c r="G228" s="4">
        <f>SUMIF(Prior_Year_TB!A:A,A228,Prior_Year_TB!F:F)</f>
        <v/>
      </c>
      <c r="H228" s="4">
        <f>SUMIF(Current_Year_TB!A:A,A228,Current_Year_TB!F:F)</f>
        <v/>
      </c>
      <c r="I228" s="4">
        <f>H228-G228</f>
        <v/>
      </c>
      <c r="J228" s="5">
        <f>IFERROR(I228/ABS(G228),"")</f>
        <v/>
      </c>
      <c r="K228" s="2" t="inlineStr">
        <is>
          <t>Decrease</t>
        </is>
      </c>
      <c r="L228" s="2" t="inlineStr">
        <is>
          <t>No</t>
        </is>
      </c>
      <c r="M228" s="2" t="inlineStr"/>
      <c r="N228" s="3" t="inlineStr"/>
      <c r="O228" s="3" t="inlineStr">
        <is>
          <t>Current-year balance decreased by $454 compared with prior year.</t>
        </is>
      </c>
    </row>
    <row r="229">
      <c r="A229" s="2" t="inlineStr">
        <is>
          <t>4161</t>
        </is>
      </c>
      <c r="B229" s="2" t="n">
        <v>228</v>
      </c>
      <c r="C229" s="2" t="inlineStr">
        <is>
          <t>4161</t>
        </is>
      </c>
      <c r="D229" s="2" t="inlineStr">
        <is>
          <t>Service Revenue - Ops</t>
        </is>
      </c>
      <c r="E229" s="2" t="inlineStr">
        <is>
          <t>Revenue</t>
        </is>
      </c>
      <c r="F229" s="2" t="inlineStr">
        <is>
          <t>Ops</t>
        </is>
      </c>
      <c r="G229" s="4">
        <f>SUMIF(Prior_Year_TB!A:A,A229,Prior_Year_TB!F:F)</f>
        <v/>
      </c>
      <c r="H229" s="4">
        <f>SUMIF(Current_Year_TB!A:A,A229,Current_Year_TB!F:F)</f>
        <v/>
      </c>
      <c r="I229" s="4">
        <f>H229-G229</f>
        <v/>
      </c>
      <c r="J229" s="5">
        <f>IFERROR(I229/ABS(G229),"")</f>
        <v/>
      </c>
      <c r="K229" s="2" t="inlineStr">
        <is>
          <t>Increase</t>
        </is>
      </c>
      <c r="L229" s="2" t="inlineStr">
        <is>
          <t>No</t>
        </is>
      </c>
      <c r="M229" s="2" t="inlineStr"/>
      <c r="N229" s="3" t="inlineStr"/>
      <c r="O229" s="3" t="inlineStr">
        <is>
          <t>Current-year balance increased by $442 compared with prior year.</t>
        </is>
      </c>
    </row>
    <row r="230">
      <c r="A230" s="2" t="inlineStr">
        <is>
          <t>3133</t>
        </is>
      </c>
      <c r="B230" s="2" t="n">
        <v>229</v>
      </c>
      <c r="C230" s="2" t="inlineStr">
        <is>
          <t>3133</t>
        </is>
      </c>
      <c r="D230" s="2" t="inlineStr">
        <is>
          <t>Common Stock - Warehouse</t>
        </is>
      </c>
      <c r="E230" s="2" t="inlineStr">
        <is>
          <t>Equity</t>
        </is>
      </c>
      <c r="F230" s="2" t="inlineStr">
        <is>
          <t>Warehouse</t>
        </is>
      </c>
      <c r="G230" s="4">
        <f>SUMIF(Prior_Year_TB!A:A,A230,Prior_Year_TB!F:F)</f>
        <v/>
      </c>
      <c r="H230" s="4">
        <f>SUMIF(Current_Year_TB!A:A,A230,Current_Year_TB!F:F)</f>
        <v/>
      </c>
      <c r="I230" s="4">
        <f>H230-G230</f>
        <v/>
      </c>
      <c r="J230" s="5">
        <f>IFERROR(I230/ABS(G230),"")</f>
        <v/>
      </c>
      <c r="K230" s="2" t="inlineStr">
        <is>
          <t>Increase</t>
        </is>
      </c>
      <c r="L230" s="2" t="inlineStr">
        <is>
          <t>No</t>
        </is>
      </c>
      <c r="M230" s="2" t="inlineStr"/>
      <c r="N230" s="3" t="inlineStr"/>
      <c r="O230" s="3" t="inlineStr">
        <is>
          <t>Current-year balance increased by $400 compared with prior year.</t>
        </is>
      </c>
    </row>
    <row r="231">
      <c r="A231" s="2" t="inlineStr">
        <is>
          <t>6170</t>
        </is>
      </c>
      <c r="B231" s="2" t="n">
        <v>230</v>
      </c>
      <c r="C231" s="2" t="inlineStr">
        <is>
          <t>6170</t>
        </is>
      </c>
      <c r="D231" s="2" t="inlineStr">
        <is>
          <t>Salaries - Admin</t>
        </is>
      </c>
      <c r="E231" s="2" t="inlineStr">
        <is>
          <t>Operating Expenses</t>
        </is>
      </c>
      <c r="F231" s="2" t="inlineStr">
        <is>
          <t>Admin</t>
        </is>
      </c>
      <c r="G231" s="4">
        <f>SUMIF(Prior_Year_TB!A:A,A231,Prior_Year_TB!F:F)</f>
        <v/>
      </c>
      <c r="H231" s="4">
        <f>SUMIF(Current_Year_TB!A:A,A231,Current_Year_TB!F:F)</f>
        <v/>
      </c>
      <c r="I231" s="4">
        <f>H231-G231</f>
        <v/>
      </c>
      <c r="J231" s="5">
        <f>IFERROR(I231/ABS(G231),"")</f>
        <v/>
      </c>
      <c r="K231" s="2" t="inlineStr">
        <is>
          <t>Increase</t>
        </is>
      </c>
      <c r="L231" s="2" t="inlineStr">
        <is>
          <t>No</t>
        </is>
      </c>
      <c r="M231" s="2" t="inlineStr"/>
      <c r="N231" s="3" t="inlineStr"/>
      <c r="O231" s="3" t="inlineStr">
        <is>
          <t>Current-year balance increased by $389 compared with prior year.</t>
        </is>
      </c>
    </row>
    <row r="232">
      <c r="A232" s="2" t="inlineStr">
        <is>
          <t>6152</t>
        </is>
      </c>
      <c r="B232" s="2" t="n">
        <v>231</v>
      </c>
      <c r="C232" s="2" t="inlineStr">
        <is>
          <t>6152</t>
        </is>
      </c>
      <c r="D232" s="2" t="inlineStr">
        <is>
          <t>Travel - Admin</t>
        </is>
      </c>
      <c r="E232" s="2" t="inlineStr">
        <is>
          <t>Operating Expenses</t>
        </is>
      </c>
      <c r="F232" s="2" t="inlineStr">
        <is>
          <t>Admin</t>
        </is>
      </c>
      <c r="G232" s="4">
        <f>SUMIF(Prior_Year_TB!A:A,A232,Prior_Year_TB!F:F)</f>
        <v/>
      </c>
      <c r="H232" s="4">
        <f>SUMIF(Current_Year_TB!A:A,A232,Current_Year_TB!F:F)</f>
        <v/>
      </c>
      <c r="I232" s="4">
        <f>H232-G232</f>
        <v/>
      </c>
      <c r="J232" s="5">
        <f>IFERROR(I232/ABS(G232),"")</f>
        <v/>
      </c>
      <c r="K232" s="2" t="inlineStr">
        <is>
          <t>Increase</t>
        </is>
      </c>
      <c r="L232" s="2" t="inlineStr">
        <is>
          <t>No</t>
        </is>
      </c>
      <c r="M232" s="2" t="inlineStr"/>
      <c r="N232" s="3" t="inlineStr"/>
      <c r="O232" s="3" t="inlineStr">
        <is>
          <t>Current-year balance increased by $370 compared with prior year.</t>
        </is>
      </c>
    </row>
    <row r="233">
      <c r="A233" s="2" t="inlineStr">
        <is>
          <t>4333</t>
        </is>
      </c>
      <c r="B233" s="2" t="n">
        <v>232</v>
      </c>
      <c r="C233" s="2" t="inlineStr">
        <is>
          <t>4333</t>
        </is>
      </c>
      <c r="D233" s="2" t="inlineStr">
        <is>
          <t>Other Income - IT</t>
        </is>
      </c>
      <c r="E233" s="2" t="inlineStr">
        <is>
          <t>Revenue</t>
        </is>
      </c>
      <c r="F233" s="2" t="inlineStr">
        <is>
          <t>IT</t>
        </is>
      </c>
      <c r="G233" s="4">
        <f>SUMIF(Prior_Year_TB!A:A,A233,Prior_Year_TB!F:F)</f>
        <v/>
      </c>
      <c r="H233" s="4">
        <f>SUMIF(Current_Year_TB!A:A,A233,Current_Year_TB!F:F)</f>
        <v/>
      </c>
      <c r="I233" s="4">
        <f>H233-G233</f>
        <v/>
      </c>
      <c r="J233" s="5">
        <f>IFERROR(I233/ABS(G233),"")</f>
        <v/>
      </c>
      <c r="K233" s="2" t="inlineStr">
        <is>
          <t>Decrease</t>
        </is>
      </c>
      <c r="L233" s="2" t="inlineStr">
        <is>
          <t>No</t>
        </is>
      </c>
      <c r="M233" s="2" t="inlineStr"/>
      <c r="N233" s="3" t="inlineStr"/>
      <c r="O233" s="3" t="inlineStr">
        <is>
          <t>Current-year balance decreased by $357 compared with prior year.</t>
        </is>
      </c>
    </row>
    <row r="234">
      <c r="A234" s="2" t="inlineStr">
        <is>
          <t>2004</t>
        </is>
      </c>
      <c r="B234" s="2" t="n">
        <v>233</v>
      </c>
      <c r="C234" s="2" t="inlineStr">
        <is>
          <t>2004</t>
        </is>
      </c>
      <c r="D234" s="2" t="inlineStr">
        <is>
          <t>Accrued Expense - Ops</t>
        </is>
      </c>
      <c r="E234" s="2" t="inlineStr">
        <is>
          <t>Liabilities</t>
        </is>
      </c>
      <c r="F234" s="2" t="inlineStr">
        <is>
          <t>Ops</t>
        </is>
      </c>
      <c r="G234" s="4">
        <f>SUMIF(Prior_Year_TB!A:A,A234,Prior_Year_TB!F:F)</f>
        <v/>
      </c>
      <c r="H234" s="4">
        <f>SUMIF(Current_Year_TB!A:A,A234,Current_Year_TB!F:F)</f>
        <v/>
      </c>
      <c r="I234" s="4">
        <f>H234-G234</f>
        <v/>
      </c>
      <c r="J234" s="5">
        <f>IFERROR(I234/ABS(G234),"")</f>
        <v/>
      </c>
      <c r="K234" s="2" t="inlineStr">
        <is>
          <t>Increase</t>
        </is>
      </c>
      <c r="L234" s="2" t="inlineStr">
        <is>
          <t>No</t>
        </is>
      </c>
      <c r="M234" s="2" t="inlineStr"/>
      <c r="N234" s="3" t="inlineStr"/>
      <c r="O234" s="3" t="inlineStr">
        <is>
          <t>Current-year balance increased by $347 compared with prior year.</t>
        </is>
      </c>
    </row>
    <row r="235">
      <c r="A235" s="2" t="inlineStr">
        <is>
          <t>3173</t>
        </is>
      </c>
      <c r="B235" s="2" t="n">
        <v>234</v>
      </c>
      <c r="C235" s="2" t="inlineStr">
        <is>
          <t>3173</t>
        </is>
      </c>
      <c r="D235" s="2" t="inlineStr">
        <is>
          <t>Current Year Earnings - Ops</t>
        </is>
      </c>
      <c r="E235" s="2" t="inlineStr">
        <is>
          <t>Equity</t>
        </is>
      </c>
      <c r="F235" s="2" t="inlineStr">
        <is>
          <t>Ops</t>
        </is>
      </c>
      <c r="G235" s="4">
        <f>SUMIF(Prior_Year_TB!A:A,A235,Prior_Year_TB!F:F)</f>
        <v/>
      </c>
      <c r="H235" s="4">
        <f>SUMIF(Current_Year_TB!A:A,A235,Current_Year_TB!F:F)</f>
        <v/>
      </c>
      <c r="I235" s="4">
        <f>H235-G235</f>
        <v/>
      </c>
      <c r="J235" s="5">
        <f>IFERROR(I235/ABS(G235),"")</f>
        <v/>
      </c>
      <c r="K235" s="2" t="inlineStr">
        <is>
          <t>Increase</t>
        </is>
      </c>
      <c r="L235" s="2" t="inlineStr">
        <is>
          <t>No</t>
        </is>
      </c>
      <c r="M235" s="2" t="inlineStr"/>
      <c r="N235" s="3" t="inlineStr"/>
      <c r="O235" s="3" t="inlineStr">
        <is>
          <t>Current-year balance increased by $308 compared with prior year.</t>
        </is>
      </c>
    </row>
    <row r="236">
      <c r="A236" s="2" t="inlineStr">
        <is>
          <t>2064</t>
        </is>
      </c>
      <c r="B236" s="2" t="n">
        <v>235</v>
      </c>
      <c r="C236" s="2" t="inlineStr">
        <is>
          <t>2064</t>
        </is>
      </c>
      <c r="D236" s="2" t="inlineStr">
        <is>
          <t>Accrued Expense - Admin</t>
        </is>
      </c>
      <c r="E236" s="2" t="inlineStr">
        <is>
          <t>Liabilities</t>
        </is>
      </c>
      <c r="F236" s="2" t="inlineStr">
        <is>
          <t>Admin</t>
        </is>
      </c>
      <c r="G236" s="4">
        <f>SUMIF(Prior_Year_TB!A:A,A236,Prior_Year_TB!F:F)</f>
        <v/>
      </c>
      <c r="H236" s="4">
        <f>SUMIF(Current_Year_TB!A:A,A236,Current_Year_TB!F:F)</f>
        <v/>
      </c>
      <c r="I236" s="4">
        <f>H236-G236</f>
        <v/>
      </c>
      <c r="J236" s="5">
        <f>IFERROR(I236/ABS(G236),"")</f>
        <v/>
      </c>
      <c r="K236" s="2" t="inlineStr">
        <is>
          <t>Decrease</t>
        </is>
      </c>
      <c r="L236" s="2" t="inlineStr">
        <is>
          <t>No</t>
        </is>
      </c>
      <c r="M236" s="2" t="inlineStr"/>
      <c r="N236" s="3" t="inlineStr"/>
      <c r="O236" s="3" t="inlineStr">
        <is>
          <t>Current-year balance decreased by $282 compared with prior year.</t>
        </is>
      </c>
    </row>
    <row r="237">
      <c r="A237" s="2" t="inlineStr">
        <is>
          <t>1103</t>
        </is>
      </c>
      <c r="B237" s="2" t="n">
        <v>236</v>
      </c>
      <c r="C237" s="2" t="inlineStr">
        <is>
          <t>1103</t>
        </is>
      </c>
      <c r="D237" s="2" t="inlineStr">
        <is>
          <t>Accounts Receivable - Corporate</t>
        </is>
      </c>
      <c r="E237" s="2" t="inlineStr">
        <is>
          <t>Assets</t>
        </is>
      </c>
      <c r="F237" s="2" t="inlineStr">
        <is>
          <t>Corporate</t>
        </is>
      </c>
      <c r="G237" s="4">
        <f>SUMIF(Prior_Year_TB!A:A,A237,Prior_Year_TB!F:F)</f>
        <v/>
      </c>
      <c r="H237" s="4">
        <f>SUMIF(Current_Year_TB!A:A,A237,Current_Year_TB!F:F)</f>
        <v/>
      </c>
      <c r="I237" s="4">
        <f>H237-G237</f>
        <v/>
      </c>
      <c r="J237" s="5">
        <f>IFERROR(I237/ABS(G237),"")</f>
        <v/>
      </c>
      <c r="K237" s="2" t="inlineStr">
        <is>
          <t>Increase</t>
        </is>
      </c>
      <c r="L237" s="2" t="inlineStr">
        <is>
          <t>No</t>
        </is>
      </c>
      <c r="M237" s="2" t="inlineStr"/>
      <c r="N237" s="3" t="inlineStr"/>
      <c r="O237" s="3" t="inlineStr">
        <is>
          <t>Current-year balance increased by $280 compared with prior year.</t>
        </is>
      </c>
    </row>
    <row r="238">
      <c r="A238" s="2" t="inlineStr">
        <is>
          <t>3101</t>
        </is>
      </c>
      <c r="B238" s="2" t="n">
        <v>237</v>
      </c>
      <c r="C238" s="2" t="inlineStr">
        <is>
          <t>3101</t>
        </is>
      </c>
      <c r="D238" s="2" t="inlineStr">
        <is>
          <t>Current Year Earnings - Corporate</t>
        </is>
      </c>
      <c r="E238" s="2" t="inlineStr">
        <is>
          <t>Equity</t>
        </is>
      </c>
      <c r="F238" s="2" t="inlineStr">
        <is>
          <t>Corporate</t>
        </is>
      </c>
      <c r="G238" s="4">
        <f>SUMIF(Prior_Year_TB!A:A,A238,Prior_Year_TB!F:F)</f>
        <v/>
      </c>
      <c r="H238" s="4">
        <f>SUMIF(Current_Year_TB!A:A,A238,Current_Year_TB!F:F)</f>
        <v/>
      </c>
      <c r="I238" s="4">
        <f>H238-G238</f>
        <v/>
      </c>
      <c r="J238" s="5">
        <f>IFERROR(I238/ABS(G238),"")</f>
        <v/>
      </c>
      <c r="K238" s="2" t="inlineStr">
        <is>
          <t>Increase</t>
        </is>
      </c>
      <c r="L238" s="2" t="inlineStr">
        <is>
          <t>No</t>
        </is>
      </c>
      <c r="M238" s="2" t="inlineStr"/>
      <c r="N238" s="3" t="inlineStr"/>
      <c r="O238" s="3" t="inlineStr">
        <is>
          <t>Current-year balance increased by $259 compared with prior year.</t>
        </is>
      </c>
    </row>
    <row r="239">
      <c r="A239" s="2" t="inlineStr">
        <is>
          <t>5422</t>
        </is>
      </c>
      <c r="B239" s="2" t="n">
        <v>238</v>
      </c>
      <c r="C239" s="2" t="inlineStr">
        <is>
          <t>5422</t>
        </is>
      </c>
      <c r="D239" s="2" t="inlineStr">
        <is>
          <t>Freight In - Corporate</t>
        </is>
      </c>
      <c r="E239" s="2" t="inlineStr">
        <is>
          <t>COGS</t>
        </is>
      </c>
      <c r="F239" s="2" t="inlineStr">
        <is>
          <t>Corporate</t>
        </is>
      </c>
      <c r="G239" s="4">
        <f>SUMIF(Prior_Year_TB!A:A,A239,Prior_Year_TB!F:F)</f>
        <v/>
      </c>
      <c r="H239" s="4">
        <f>SUMIF(Current_Year_TB!A:A,A239,Current_Year_TB!F:F)</f>
        <v/>
      </c>
      <c r="I239" s="4">
        <f>H239-G239</f>
        <v/>
      </c>
      <c r="J239" s="5">
        <f>IFERROR(I239/ABS(G239),"")</f>
        <v/>
      </c>
      <c r="K239" s="2" t="inlineStr">
        <is>
          <t>Increase</t>
        </is>
      </c>
      <c r="L239" s="2" t="inlineStr">
        <is>
          <t>No</t>
        </is>
      </c>
      <c r="M239" s="2" t="inlineStr"/>
      <c r="N239" s="3" t="inlineStr"/>
      <c r="O239" s="3" t="inlineStr">
        <is>
          <t>Current-year balance increased by $197 compared with prior year.</t>
        </is>
      </c>
    </row>
    <row r="240">
      <c r="A240" s="2" t="inlineStr">
        <is>
          <t>7223</t>
        </is>
      </c>
      <c r="B240" s="2" t="n">
        <v>239</v>
      </c>
      <c r="C240" s="2" t="inlineStr">
        <is>
          <t>7223</t>
        </is>
      </c>
      <c r="D240" s="2" t="inlineStr">
        <is>
          <t>Taxes and Licenses - Corporate</t>
        </is>
      </c>
      <c r="E240" s="2" t="inlineStr">
        <is>
          <t>Other Expense</t>
        </is>
      </c>
      <c r="F240" s="2" t="inlineStr">
        <is>
          <t>Corporate</t>
        </is>
      </c>
      <c r="G240" s="4">
        <f>SUMIF(Prior_Year_TB!A:A,A240,Prior_Year_TB!F:F)</f>
        <v/>
      </c>
      <c r="H240" s="4">
        <f>SUMIF(Current_Year_TB!A:A,A240,Current_Year_TB!F:F)</f>
        <v/>
      </c>
      <c r="I240" s="4">
        <f>H240-G240</f>
        <v/>
      </c>
      <c r="J240" s="5">
        <f>IFERROR(I240/ABS(G240),"")</f>
        <v/>
      </c>
      <c r="K240" s="2" t="inlineStr">
        <is>
          <t>Increase</t>
        </is>
      </c>
      <c r="L240" s="2" t="inlineStr">
        <is>
          <t>No</t>
        </is>
      </c>
      <c r="M240" s="2" t="inlineStr"/>
      <c r="N240" s="3" t="inlineStr"/>
      <c r="O240" s="3" t="inlineStr">
        <is>
          <t>Current-year balance increased by $178 compared with prior year.</t>
        </is>
      </c>
    </row>
    <row r="241">
      <c r="A241" s="2" t="inlineStr">
        <is>
          <t>6362</t>
        </is>
      </c>
      <c r="B241" s="2" t="n">
        <v>240</v>
      </c>
      <c r="C241" s="2" t="inlineStr">
        <is>
          <t>6362</t>
        </is>
      </c>
      <c r="D241" s="2" t="inlineStr">
        <is>
          <t>Utilities - Warehouse</t>
        </is>
      </c>
      <c r="E241" s="2" t="inlineStr">
        <is>
          <t>Operating Expenses</t>
        </is>
      </c>
      <c r="F241" s="2" t="inlineStr">
        <is>
          <t>Warehouse</t>
        </is>
      </c>
      <c r="G241" s="4">
        <f>SUMIF(Prior_Year_TB!A:A,A241,Prior_Year_TB!F:F)</f>
        <v/>
      </c>
      <c r="H241" s="4">
        <f>SUMIF(Current_Year_TB!A:A,A241,Current_Year_TB!F:F)</f>
        <v/>
      </c>
      <c r="I241" s="4">
        <f>H241-G241</f>
        <v/>
      </c>
      <c r="J241" s="5">
        <f>IFERROR(I241/ABS(G241),"")</f>
        <v/>
      </c>
      <c r="K241" s="2" t="inlineStr">
        <is>
          <t>Decrease</t>
        </is>
      </c>
      <c r="L241" s="2" t="inlineStr">
        <is>
          <t>No</t>
        </is>
      </c>
      <c r="M241" s="2" t="inlineStr"/>
      <c r="N241" s="3" t="inlineStr"/>
      <c r="O241" s="3" t="inlineStr">
        <is>
          <t>Current-year balance decreased by $159 compared with prior year.</t>
        </is>
      </c>
    </row>
    <row r="242">
      <c r="A242" s="2" t="inlineStr">
        <is>
          <t>6101</t>
        </is>
      </c>
      <c r="B242" s="2" t="n">
        <v>241</v>
      </c>
      <c r="C242" s="2" t="inlineStr">
        <is>
          <t>6101</t>
        </is>
      </c>
      <c r="D242" s="2" t="inlineStr">
        <is>
          <t>Insurance - Warehouse</t>
        </is>
      </c>
      <c r="E242" s="2" t="inlineStr">
        <is>
          <t>Operating Expenses</t>
        </is>
      </c>
      <c r="F242" s="2" t="inlineStr">
        <is>
          <t>Warehouse</t>
        </is>
      </c>
      <c r="G242" s="4">
        <f>SUMIF(Prior_Year_TB!A:A,A242,Prior_Year_TB!F:F)</f>
        <v/>
      </c>
      <c r="H242" s="4">
        <f>SUMIF(Current_Year_TB!A:A,A242,Current_Year_TB!F:F)</f>
        <v/>
      </c>
      <c r="I242" s="4">
        <f>H242-G242</f>
        <v/>
      </c>
      <c r="J242" s="5">
        <f>IFERROR(I242/ABS(G242),"")</f>
        <v/>
      </c>
      <c r="K242" s="2" t="inlineStr">
        <is>
          <t>Increase</t>
        </is>
      </c>
      <c r="L242" s="2" t="inlineStr">
        <is>
          <t>No</t>
        </is>
      </c>
      <c r="M242" s="2" t="inlineStr"/>
      <c r="N242" s="3" t="inlineStr"/>
      <c r="O242" s="3" t="inlineStr">
        <is>
          <t>Current-year balance increased by $144 compared with prior year.</t>
        </is>
      </c>
    </row>
    <row r="243">
      <c r="A243" s="2" t="inlineStr">
        <is>
          <t>3023</t>
        </is>
      </c>
      <c r="B243" s="2" t="n">
        <v>242</v>
      </c>
      <c r="C243" s="2" t="inlineStr">
        <is>
          <t>3023</t>
        </is>
      </c>
      <c r="D243" s="2" t="inlineStr">
        <is>
          <t>Distributions - IT</t>
        </is>
      </c>
      <c r="E243" s="2" t="inlineStr">
        <is>
          <t>Equity</t>
        </is>
      </c>
      <c r="F243" s="2" t="inlineStr">
        <is>
          <t>IT</t>
        </is>
      </c>
      <c r="G243" s="4">
        <f>SUMIF(Prior_Year_TB!A:A,A243,Prior_Year_TB!F:F)</f>
        <v/>
      </c>
      <c r="H243" s="4">
        <f>SUMIF(Current_Year_TB!A:A,A243,Current_Year_TB!F:F)</f>
        <v/>
      </c>
      <c r="I243" s="4">
        <f>H243-G243</f>
        <v/>
      </c>
      <c r="J243" s="5">
        <f>IFERROR(I243/ABS(G243),"")</f>
        <v/>
      </c>
      <c r="K243" s="2" t="inlineStr">
        <is>
          <t>Increase</t>
        </is>
      </c>
      <c r="L243" s="2" t="inlineStr">
        <is>
          <t>No</t>
        </is>
      </c>
      <c r="M243" s="2" t="inlineStr"/>
      <c r="N243" s="3" t="inlineStr"/>
      <c r="O243" s="3" t="inlineStr">
        <is>
          <t>Current-year balance increased by $121 compared with prior year.</t>
        </is>
      </c>
    </row>
    <row r="244">
      <c r="A244" s="2" t="inlineStr">
        <is>
          <t>4214</t>
        </is>
      </c>
      <c r="B244" s="2" t="n">
        <v>243</v>
      </c>
      <c r="C244" s="2" t="inlineStr">
        <is>
          <t>4214</t>
        </is>
      </c>
      <c r="D244" s="2" t="inlineStr">
        <is>
          <t>Returns and Allowances - Admin</t>
        </is>
      </c>
      <c r="E244" s="2" t="inlineStr">
        <is>
          <t>Revenue</t>
        </is>
      </c>
      <c r="F244" s="2" t="inlineStr">
        <is>
          <t>Admin</t>
        </is>
      </c>
      <c r="G244" s="4">
        <f>SUMIF(Prior_Year_TB!A:A,A244,Prior_Year_TB!F:F)</f>
        <v/>
      </c>
      <c r="H244" s="4">
        <f>SUMIF(Current_Year_TB!A:A,A244,Current_Year_TB!F:F)</f>
        <v/>
      </c>
      <c r="I244" s="4">
        <f>H244-G244</f>
        <v/>
      </c>
      <c r="J244" s="5">
        <f>IFERROR(I244/ABS(G244),"")</f>
        <v/>
      </c>
      <c r="K244" s="2" t="inlineStr">
        <is>
          <t>Decrease</t>
        </is>
      </c>
      <c r="L244" s="2" t="inlineStr">
        <is>
          <t>No</t>
        </is>
      </c>
      <c r="M244" s="2" t="inlineStr"/>
      <c r="N244" s="3" t="inlineStr"/>
      <c r="O244" s="3" t="inlineStr">
        <is>
          <t>Current-year balance decreased by $61 compared with prior year.</t>
        </is>
      </c>
    </row>
    <row r="245">
      <c r="A245" s="2" t="inlineStr">
        <is>
          <t>7245</t>
        </is>
      </c>
      <c r="B245" s="2" t="n">
        <v>244</v>
      </c>
      <c r="C245" s="2" t="inlineStr">
        <is>
          <t>7245</t>
        </is>
      </c>
      <c r="D245" s="2" t="inlineStr">
        <is>
          <t>Taxes and Licenses - Sales</t>
        </is>
      </c>
      <c r="E245" s="2" t="inlineStr">
        <is>
          <t>Other Expense</t>
        </is>
      </c>
      <c r="F245" s="2" t="inlineStr">
        <is>
          <t>Sales</t>
        </is>
      </c>
      <c r="G245" s="4">
        <f>SUMIF(Prior_Year_TB!A:A,A245,Prior_Year_TB!F:F)</f>
        <v/>
      </c>
      <c r="H245" s="4">
        <f>SUMIF(Current_Year_TB!A:A,A245,Current_Year_TB!F:F)</f>
        <v/>
      </c>
      <c r="I245" s="4">
        <f>H245-G245</f>
        <v/>
      </c>
      <c r="J245" s="5">
        <f>IFERROR(I245/ABS(G245),"")</f>
        <v/>
      </c>
      <c r="K245" s="2" t="inlineStr">
        <is>
          <t>Decrease</t>
        </is>
      </c>
      <c r="L245" s="2" t="inlineStr">
        <is>
          <t>No</t>
        </is>
      </c>
      <c r="M245" s="2" t="inlineStr"/>
      <c r="N245" s="3" t="inlineStr"/>
      <c r="O245" s="3" t="inlineStr">
        <is>
          <t>Current-year balance decreased by $45 compared with prior year.</t>
        </is>
      </c>
    </row>
    <row r="246">
      <c r="A246" s="2" t="inlineStr">
        <is>
          <t>5062</t>
        </is>
      </c>
      <c r="B246" s="2" t="n">
        <v>245</v>
      </c>
      <c r="C246" s="2" t="inlineStr">
        <is>
          <t>5062</t>
        </is>
      </c>
      <c r="D246" s="2" t="inlineStr">
        <is>
          <t>Inventory Adjustments - Warehouse</t>
        </is>
      </c>
      <c r="E246" s="2" t="inlineStr">
        <is>
          <t>COGS</t>
        </is>
      </c>
      <c r="F246" s="2" t="inlineStr">
        <is>
          <t>Warehouse</t>
        </is>
      </c>
      <c r="G246" s="4">
        <f>SUMIF(Prior_Year_TB!A:A,A246,Prior_Year_TB!F:F)</f>
        <v/>
      </c>
      <c r="H246" s="4">
        <f>SUMIF(Current_Year_TB!A:A,A246,Current_Year_TB!F:F)</f>
        <v/>
      </c>
      <c r="I246" s="4">
        <f>H246-G246</f>
        <v/>
      </c>
      <c r="J246" s="5">
        <f>IFERROR(I246/ABS(G246),"")</f>
        <v/>
      </c>
      <c r="K246" s="2" t="inlineStr">
        <is>
          <t>Decrease</t>
        </is>
      </c>
      <c r="L246" s="2" t="inlineStr">
        <is>
          <t>No</t>
        </is>
      </c>
      <c r="M246" s="2" t="inlineStr"/>
      <c r="N246" s="3" t="inlineStr"/>
      <c r="O246" s="3" t="inlineStr">
        <is>
          <t>Current-year balance decreased by $34 compared with prior year.</t>
        </is>
      </c>
    </row>
    <row r="247">
      <c r="A247" s="2" t="inlineStr">
        <is>
          <t>1231</t>
        </is>
      </c>
      <c r="B247" s="2" t="n">
        <v>246</v>
      </c>
      <c r="C247" s="2" t="inlineStr">
        <is>
          <t>1231</t>
        </is>
      </c>
      <c r="D247" s="2" t="inlineStr">
        <is>
          <t>Prepaid Expense - IT</t>
        </is>
      </c>
      <c r="E247" s="2" t="inlineStr">
        <is>
          <t>Assets</t>
        </is>
      </c>
      <c r="F247" s="2" t="inlineStr">
        <is>
          <t>IT</t>
        </is>
      </c>
      <c r="G247" s="4">
        <f>SUMIF(Prior_Year_TB!A:A,A247,Prior_Year_TB!F:F)</f>
        <v/>
      </c>
      <c r="H247" s="4">
        <f>SUMIF(Current_Year_TB!A:A,A247,Current_Year_TB!F:F)</f>
        <v/>
      </c>
      <c r="I247" s="4">
        <f>H247-G247</f>
        <v/>
      </c>
      <c r="J247" s="5">
        <f>IFERROR(I247/ABS(G247),"")</f>
        <v/>
      </c>
      <c r="K247" s="2" t="inlineStr">
        <is>
          <t>Increase</t>
        </is>
      </c>
      <c r="L247" s="2" t="inlineStr">
        <is>
          <t>No</t>
        </is>
      </c>
      <c r="M247" s="2" t="inlineStr"/>
      <c r="N247" s="3" t="inlineStr"/>
      <c r="O247" s="3" t="inlineStr">
        <is>
          <t>Current-year balance increased by $17 compared with prior year.</t>
        </is>
      </c>
    </row>
  </sheetData>
  <autoFilter ref="A1:O247"/>
  <conditionalFormatting sqref="A2:O247">
    <cfRule type="expression" priority="1" dxfId="0">
      <formula>$L2="Yes"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2026-06-09T02:39:38Z</dcterms:created>
  <dcterms:modified xmlns:dcterms="http://purl.org/dc/terms/" xmlns:xsi="http://www.w3.org/2001/XMLSchema-instance" xsi:type="dcterms:W3CDTF">2026-06-09T02:39:38Z</dcterms:modified>
</cp:coreProperties>
</file>